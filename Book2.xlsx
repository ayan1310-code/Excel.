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4567936-C209-4707-99BA-70023E309EFA}" xr6:coauthVersionLast="36" xr6:coauthVersionMax="36" xr10:uidLastSave="{00000000-0000-0000-0000-000000000000}"/>
  <bookViews>
    <workbookView xWindow="0" yWindow="0" windowWidth="19008" windowHeight="10284" xr2:uid="{7B69BE39-5E3A-41A0-BC19-D92C847C1C23}"/>
  </bookViews>
  <sheets>
    <sheet name="VLOOKUP" sheetId="1" r:id="rId1"/>
    <sheet name="HLOOKUP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5" i="2" l="1"/>
  <c r="F35" i="2"/>
  <c r="D28" i="2"/>
  <c r="D21" i="2"/>
  <c r="D58" i="1"/>
  <c r="D51" i="1"/>
  <c r="D44" i="1"/>
  <c r="E37" i="1"/>
  <c r="D26" i="1"/>
  <c r="E26" i="1"/>
  <c r="F26" i="1" s="1"/>
  <c r="G26" i="1" s="1"/>
  <c r="H26" i="1" s="1"/>
  <c r="G19" i="1"/>
</calcChain>
</file>

<file path=xl/sharedStrings.xml><?xml version="1.0" encoding="utf-8"?>
<sst xmlns="http://schemas.openxmlformats.org/spreadsheetml/2006/main" count="159" uniqueCount="51">
  <si>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</si>
  <si>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</si>
  <si>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</si>
  <si>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</si>
  <si>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</si>
  <si>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</si>
  <si>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</si>
  <si>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</si>
  <si>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</si>
  <si>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</si>
  <si>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</si>
  <si>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</si>
  <si>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</si>
  <si>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</si>
  <si>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</si>
  <si>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</si>
  <si>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</si>
  <si>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</si>
  <si>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</si>
  <si>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</si>
  <si>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</si>
  <si>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</si>
  <si>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</si>
  <si>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</si>
  <si>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</si>
  <si>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</si>
  <si>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</si>
  <si>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</si>
  <si>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</si>
  <si>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</si>
  <si>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</si>
  <si>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</si>
  <si>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</si>
  <si>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Bonus %</t>
  </si>
  <si>
    <t>VLOOKUP</t>
  </si>
  <si>
    <t>task : 1</t>
  </si>
  <si>
    <t>task : 2</t>
  </si>
  <si>
    <t>neha singh</t>
  </si>
  <si>
    <t>task : 3</t>
  </si>
  <si>
    <t>task : 4</t>
  </si>
  <si>
    <t>E109</t>
  </si>
  <si>
    <t>task : 5</t>
  </si>
  <si>
    <t>task : 6</t>
  </si>
  <si>
    <t>HLOOKUP</t>
  </si>
  <si>
    <t>Bonus</t>
  </si>
  <si>
    <t>TASK : 7</t>
  </si>
  <si>
    <t>task : 8</t>
  </si>
  <si>
    <t>Bonus Amount</t>
  </si>
  <si>
    <t>Task : 9</t>
  </si>
  <si>
    <t>Doctor</t>
  </si>
  <si>
    <t>TASK :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</si>
</sst>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9" tint="0.79998168889431442"/>
      <name val="Castellar"/>
      <family val="1"/>
    </font>
    <font>
      <b/>
      <sz val="20"/>
      <color theme="1"/>
      <name val="Castellar"/>
      <family val="1"/>
    </font>
    <font>
      <b/>
      <sz val="18"/>
      <color theme="9" tint="0.79998168889431442"/>
      <name val="Castellar"/>
      <family val="1"/>
    </font>
    <font>
      <b/>
      <sz val="16"/>
      <color theme="1"/>
      <name val="Castellar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0" xfId="0" applyBorder="1"/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9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D6D3C-6D00-4427-8569-3408475175F0}">
  <dimension ref="B4:O60"/>
  <sheetViews>
    <sheetView tabSelected="1" workbookViewId="0">
      <selection activeCell="S12" sqref="S12"/>
    </sheetView>
  </sheetViews>
  <sheetFormatPr defaultRowHeight="14.4" x14ac:dyDescent="0.3"/>
  <cols>
    <col min="3" max="3" width="10.77734375" bestFit="1" customWidth="1"/>
    <col min="4" max="4" width="12.33203125" bestFit="1" customWidth="1"/>
    <col min="5" max="6" width="10.77734375" bestFit="1" customWidth="1"/>
    <col min="7" max="7" width="10" bestFit="1" customWidth="1"/>
    <col min="8" max="8" width="10.21875" bestFit="1" customWidth="1"/>
    <col min="10" max="10" width="10.77734375" bestFit="1" customWidth="1"/>
    <col min="11" max="11" width="11.109375" bestFit="1" customWidth="1"/>
    <col min="12" max="13" width="5" bestFit="1" customWidth="1"/>
    <col min="14" max="14" width="7.21875" bestFit="1" customWidth="1"/>
    <col min="15" max="15" width="9.21875" bestFit="1" customWidth="1"/>
  </cols>
  <sheetData>
    <row r="4" spans="2:15" x14ac:dyDescent="0.3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J4" s="1" t="s">
        <v>2</v>
      </c>
      <c r="K4" s="1" t="s">
        <v>8</v>
      </c>
      <c r="L4" s="1" t="s">
        <v>12</v>
      </c>
      <c r="M4" s="1" t="s">
        <v>16</v>
      </c>
      <c r="N4" s="1" t="s">
        <v>20</v>
      </c>
      <c r="O4" s="1" t="s">
        <v>24</v>
      </c>
    </row>
    <row r="5" spans="2:15" x14ac:dyDescent="0.3">
      <c r="C5" s="2" t="s">
        <v>6</v>
      </c>
      <c r="D5" s="2" t="s">
        <v>7</v>
      </c>
      <c r="E5" s="2" t="s">
        <v>8</v>
      </c>
      <c r="F5" s="2" t="s">
        <v>9</v>
      </c>
      <c r="G5" s="2">
        <v>45000</v>
      </c>
      <c r="H5" s="2">
        <v>2019</v>
      </c>
      <c r="J5" s="2" t="s">
        <v>33</v>
      </c>
      <c r="K5" s="2">
        <v>0.1</v>
      </c>
      <c r="L5" s="2">
        <v>0.08</v>
      </c>
      <c r="M5" s="2">
        <v>0.12</v>
      </c>
      <c r="N5" s="2">
        <v>0.15</v>
      </c>
      <c r="O5" s="2">
        <v>0.09</v>
      </c>
    </row>
    <row r="6" spans="2:15" x14ac:dyDescent="0.3">
      <c r="C6" s="2" t="s">
        <v>10</v>
      </c>
      <c r="D6" s="2" t="s">
        <v>11</v>
      </c>
      <c r="E6" s="2" t="s">
        <v>12</v>
      </c>
      <c r="F6" s="2" t="s">
        <v>13</v>
      </c>
      <c r="G6" s="2">
        <v>52000</v>
      </c>
      <c r="H6" s="2">
        <v>2018</v>
      </c>
    </row>
    <row r="7" spans="2:15" x14ac:dyDescent="0.3">
      <c r="C7" s="2" t="s">
        <v>14</v>
      </c>
      <c r="D7" s="2" t="s">
        <v>15</v>
      </c>
      <c r="E7" s="2" t="s">
        <v>16</v>
      </c>
      <c r="F7" s="2" t="s">
        <v>17</v>
      </c>
      <c r="G7" s="2">
        <v>65000</v>
      </c>
      <c r="H7" s="2">
        <v>2020</v>
      </c>
    </row>
    <row r="8" spans="2:15" x14ac:dyDescent="0.3">
      <c r="C8" s="2" t="s">
        <v>18</v>
      </c>
      <c r="D8" s="2" t="s">
        <v>19</v>
      </c>
      <c r="E8" s="2" t="s">
        <v>20</v>
      </c>
      <c r="F8" s="2" t="s">
        <v>21</v>
      </c>
      <c r="G8" s="2">
        <v>58000</v>
      </c>
      <c r="H8" s="2">
        <v>2017</v>
      </c>
      <c r="J8" s="3" t="s">
        <v>0</v>
      </c>
      <c r="K8" s="3" t="s">
        <v>1</v>
      </c>
    </row>
    <row r="9" spans="2:15" x14ac:dyDescent="0.3">
      <c r="C9" s="2" t="s">
        <v>22</v>
      </c>
      <c r="D9" s="2" t="s">
        <v>23</v>
      </c>
      <c r="E9" s="2" t="s">
        <v>24</v>
      </c>
      <c r="F9" s="2" t="s">
        <v>9</v>
      </c>
      <c r="G9" s="2">
        <v>48000</v>
      </c>
      <c r="H9" s="2">
        <v>2021</v>
      </c>
      <c r="J9" s="2" t="s">
        <v>18</v>
      </c>
      <c r="K9" s="2" t="s">
        <v>15</v>
      </c>
    </row>
    <row r="10" spans="2:15" x14ac:dyDescent="0.3">
      <c r="C10" s="2" t="s">
        <v>25</v>
      </c>
      <c r="D10" s="2" t="s">
        <v>26</v>
      </c>
      <c r="E10" s="2" t="s">
        <v>16</v>
      </c>
      <c r="F10" s="2" t="s">
        <v>27</v>
      </c>
      <c r="G10" s="2">
        <v>62000</v>
      </c>
      <c r="H10" s="2">
        <v>2019</v>
      </c>
    </row>
    <row r="11" spans="2:15" x14ac:dyDescent="0.3">
      <c r="C11" s="2" t="s">
        <v>28</v>
      </c>
      <c r="D11" s="2" t="s">
        <v>29</v>
      </c>
      <c r="E11" s="2" t="s">
        <v>8</v>
      </c>
      <c r="F11" s="2" t="s">
        <v>30</v>
      </c>
      <c r="G11" s="2">
        <v>47000</v>
      </c>
      <c r="H11" s="2">
        <v>2020</v>
      </c>
    </row>
    <row r="12" spans="2:15" x14ac:dyDescent="0.3">
      <c r="C12" s="2" t="s">
        <v>31</v>
      </c>
      <c r="D12" s="2" t="s">
        <v>32</v>
      </c>
      <c r="E12" s="2" t="s">
        <v>12</v>
      </c>
      <c r="F12" s="2" t="s">
        <v>17</v>
      </c>
      <c r="G12" s="2">
        <v>54000</v>
      </c>
      <c r="H12" s="2">
        <v>2016</v>
      </c>
    </row>
    <row r="14" spans="2:15" ht="15" thickBot="1" x14ac:dyDescent="0.35"/>
    <row r="15" spans="2:15" x14ac:dyDescent="0.3">
      <c r="B15" s="26" t="s">
        <v>34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5"/>
    </row>
    <row r="16" spans="2:15" ht="15" thickBot="1" x14ac:dyDescent="0.35"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8"/>
    </row>
    <row r="17" spans="2:12" x14ac:dyDescent="0.3">
      <c r="B17" s="9"/>
      <c r="C17" s="10"/>
      <c r="D17" s="10"/>
      <c r="E17" s="10"/>
      <c r="F17" s="10"/>
      <c r="G17" s="10"/>
      <c r="H17" s="10"/>
      <c r="I17" s="10"/>
      <c r="J17" s="10"/>
      <c r="K17" s="11"/>
    </row>
    <row r="18" spans="2:12" x14ac:dyDescent="0.3">
      <c r="B18" s="12"/>
      <c r="C18" s="3" t="s">
        <v>0</v>
      </c>
      <c r="D18" s="3" t="s">
        <v>1</v>
      </c>
      <c r="E18" s="13"/>
      <c r="F18" s="3" t="s">
        <v>0</v>
      </c>
      <c r="G18" s="3" t="s">
        <v>1</v>
      </c>
      <c r="H18" s="13"/>
      <c r="I18" s="14" t="s">
        <v>35</v>
      </c>
      <c r="J18" s="15"/>
      <c r="K18" s="16"/>
    </row>
    <row r="19" spans="2:12" x14ac:dyDescent="0.3">
      <c r="B19" s="12"/>
      <c r="C19" s="2" t="s">
        <v>18</v>
      </c>
      <c r="D19" s="2" t="s">
        <v>15</v>
      </c>
      <c r="E19" s="13"/>
      <c r="F19" s="2" t="s">
        <v>18</v>
      </c>
      <c r="G19" s="2" t="str">
        <f>VLOOKUP(F19,C4:H12,2,0)</f>
        <v>Neha Singh</v>
      </c>
      <c r="H19" s="13"/>
      <c r="I19" s="15"/>
      <c r="J19" s="15"/>
      <c r="K19" s="16"/>
    </row>
    <row r="20" spans="2:12" x14ac:dyDescent="0.3">
      <c r="B20" s="12"/>
      <c r="C20" s="13"/>
      <c r="D20" s="13"/>
      <c r="E20" s="13"/>
      <c r="F20" s="13"/>
      <c r="G20" s="13"/>
      <c r="H20" s="13"/>
      <c r="I20" s="13"/>
      <c r="J20" s="13"/>
      <c r="K20" s="16"/>
    </row>
    <row r="21" spans="2:12" ht="15" thickBot="1" x14ac:dyDescent="0.35">
      <c r="B21" s="17"/>
      <c r="C21" s="18"/>
      <c r="D21" s="18"/>
      <c r="E21" s="18"/>
      <c r="F21" s="18"/>
      <c r="G21" s="18"/>
      <c r="H21" s="18"/>
      <c r="I21" s="18"/>
      <c r="J21" s="18"/>
      <c r="K21" s="19"/>
    </row>
    <row r="22" spans="2:12" ht="15" thickBot="1" x14ac:dyDescent="0.35"/>
    <row r="23" spans="2:12" x14ac:dyDescent="0.3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1"/>
    </row>
    <row r="24" spans="2:12" x14ac:dyDescent="0.3"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6"/>
    </row>
    <row r="25" spans="2:12" x14ac:dyDescent="0.3">
      <c r="B25" s="12"/>
      <c r="C25" s="1" t="s">
        <v>0</v>
      </c>
      <c r="D25" s="1" t="s">
        <v>1</v>
      </c>
      <c r="E25" s="1" t="s">
        <v>2</v>
      </c>
      <c r="F25" s="1" t="s">
        <v>3</v>
      </c>
      <c r="G25" s="1" t="s">
        <v>4</v>
      </c>
      <c r="H25" s="1" t="s">
        <v>5</v>
      </c>
      <c r="I25" s="13"/>
      <c r="J25" s="13"/>
      <c r="K25" s="13"/>
      <c r="L25" s="16"/>
    </row>
    <row r="26" spans="2:12" x14ac:dyDescent="0.3">
      <c r="B26" s="12"/>
      <c r="C26" s="2" t="s">
        <v>14</v>
      </c>
      <c r="D26" s="2" t="str">
        <f>VLOOKUP(C26,C4:H12,2,0)</f>
        <v>Rohit Verma</v>
      </c>
      <c r="E26" s="2" t="str">
        <f t="shared" ref="E26:H26" si="0">VLOOKUP(D26,D4:I12,2,0)</f>
        <v>IT</v>
      </c>
      <c r="F26" s="2" t="str">
        <f t="shared" si="0"/>
        <v>Bangalore</v>
      </c>
      <c r="G26" s="2">
        <f t="shared" si="0"/>
        <v>65000</v>
      </c>
      <c r="H26" s="2">
        <f t="shared" si="0"/>
        <v>2020</v>
      </c>
      <c r="I26" s="13"/>
      <c r="J26" s="13"/>
      <c r="K26" s="13"/>
      <c r="L26" s="16"/>
    </row>
    <row r="27" spans="2:12" x14ac:dyDescent="0.3">
      <c r="B27" s="12"/>
      <c r="C27" s="13"/>
      <c r="D27" s="13"/>
      <c r="E27" s="13"/>
      <c r="F27" s="13"/>
      <c r="G27" s="13"/>
      <c r="H27" s="13"/>
      <c r="I27" s="13"/>
      <c r="J27" s="14" t="s">
        <v>36</v>
      </c>
      <c r="K27" s="14"/>
      <c r="L27" s="16"/>
    </row>
    <row r="28" spans="2:12" x14ac:dyDescent="0.3">
      <c r="B28" s="12"/>
      <c r="C28" s="13"/>
      <c r="D28" s="13"/>
      <c r="E28" s="13"/>
      <c r="F28" s="13"/>
      <c r="G28" s="13"/>
      <c r="H28" s="13"/>
      <c r="I28" s="13"/>
      <c r="J28" s="14"/>
      <c r="K28" s="14"/>
      <c r="L28" s="16"/>
    </row>
    <row r="29" spans="2:12" x14ac:dyDescent="0.3">
      <c r="B29" s="12"/>
      <c r="C29" s="1" t="s">
        <v>0</v>
      </c>
      <c r="D29" s="1" t="s">
        <v>1</v>
      </c>
      <c r="E29" s="1" t="s">
        <v>2</v>
      </c>
      <c r="F29" s="1" t="s">
        <v>3</v>
      </c>
      <c r="G29" s="1" t="s">
        <v>4</v>
      </c>
      <c r="H29" s="1" t="s">
        <v>5</v>
      </c>
      <c r="I29" s="13"/>
      <c r="J29" s="13"/>
      <c r="K29" s="13"/>
      <c r="L29" s="16"/>
    </row>
    <row r="30" spans="2:12" x14ac:dyDescent="0.3">
      <c r="B30" s="12"/>
      <c r="C30" s="2" t="s">
        <v>14</v>
      </c>
      <c r="D30" s="2"/>
      <c r="E30" s="2"/>
      <c r="F30" s="2"/>
      <c r="G30" s="2"/>
      <c r="H30" s="2"/>
      <c r="I30" s="13"/>
      <c r="J30" s="13"/>
      <c r="K30" s="13"/>
      <c r="L30" s="16"/>
    </row>
    <row r="31" spans="2:12" x14ac:dyDescent="0.3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6"/>
    </row>
    <row r="32" spans="2:12" ht="15" thickBot="1" x14ac:dyDescent="0.35"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9"/>
    </row>
    <row r="33" spans="2:9" ht="15" thickBot="1" x14ac:dyDescent="0.35"/>
    <row r="34" spans="2:9" x14ac:dyDescent="0.3">
      <c r="B34" s="9"/>
      <c r="C34" s="10"/>
      <c r="D34" s="10"/>
      <c r="E34" s="10"/>
      <c r="F34" s="10"/>
      <c r="G34" s="10"/>
      <c r="H34" s="10"/>
      <c r="I34" s="11"/>
    </row>
    <row r="35" spans="2:9" x14ac:dyDescent="0.3">
      <c r="B35" s="12"/>
      <c r="C35" s="13"/>
      <c r="D35" s="13"/>
      <c r="E35" s="13"/>
      <c r="F35" s="13"/>
      <c r="G35" s="13"/>
      <c r="H35" s="13"/>
      <c r="I35" s="16"/>
    </row>
    <row r="36" spans="2:9" x14ac:dyDescent="0.3">
      <c r="B36" s="12"/>
      <c r="C36" s="1" t="s">
        <v>0</v>
      </c>
      <c r="D36" s="1" t="s">
        <v>0</v>
      </c>
      <c r="E36" s="1" t="s">
        <v>4</v>
      </c>
      <c r="F36" s="13"/>
      <c r="G36" s="14" t="s">
        <v>38</v>
      </c>
      <c r="H36" s="15"/>
      <c r="I36" s="16"/>
    </row>
    <row r="37" spans="2:9" x14ac:dyDescent="0.3">
      <c r="B37" s="12"/>
      <c r="C37" s="2" t="s">
        <v>18</v>
      </c>
      <c r="D37" s="2" t="s">
        <v>37</v>
      </c>
      <c r="E37" s="2">
        <f>VLOOKUP(C37,C4:H12,5,0)</f>
        <v>58000</v>
      </c>
      <c r="F37" s="13"/>
      <c r="G37" s="15"/>
      <c r="H37" s="15"/>
      <c r="I37" s="16"/>
    </row>
    <row r="38" spans="2:9" x14ac:dyDescent="0.3">
      <c r="B38" s="12"/>
      <c r="C38" s="13"/>
      <c r="D38" s="13"/>
      <c r="E38" s="13"/>
      <c r="F38" s="13"/>
      <c r="G38" s="13"/>
      <c r="H38" s="13"/>
      <c r="I38" s="16"/>
    </row>
    <row r="39" spans="2:9" ht="15" thickBot="1" x14ac:dyDescent="0.35">
      <c r="B39" s="17"/>
      <c r="C39" s="18"/>
      <c r="D39" s="18"/>
      <c r="E39" s="18"/>
      <c r="F39" s="18"/>
      <c r="G39" s="18"/>
      <c r="H39" s="18"/>
      <c r="I39" s="19"/>
    </row>
    <row r="40" spans="2:9" ht="15" thickBot="1" x14ac:dyDescent="0.35"/>
    <row r="41" spans="2:9" x14ac:dyDescent="0.3">
      <c r="B41" s="9"/>
      <c r="C41" s="10"/>
      <c r="D41" s="10"/>
      <c r="E41" s="10"/>
      <c r="F41" s="10"/>
      <c r="G41" s="10"/>
      <c r="H41" s="11"/>
    </row>
    <row r="42" spans="2:9" x14ac:dyDescent="0.3">
      <c r="B42" s="12"/>
      <c r="C42" s="13"/>
      <c r="D42" s="13"/>
      <c r="E42" s="13"/>
      <c r="F42" s="13"/>
      <c r="G42" s="13"/>
      <c r="H42" s="16"/>
    </row>
    <row r="43" spans="2:9" x14ac:dyDescent="0.3">
      <c r="B43" s="12"/>
      <c r="C43" s="1" t="s">
        <v>0</v>
      </c>
      <c r="D43" s="1" t="s">
        <v>3</v>
      </c>
      <c r="E43" s="13"/>
      <c r="F43" s="14" t="s">
        <v>39</v>
      </c>
      <c r="G43" s="15"/>
      <c r="H43" s="16"/>
    </row>
    <row r="44" spans="2:9" x14ac:dyDescent="0.3">
      <c r="B44" s="12"/>
      <c r="C44" s="2" t="s">
        <v>28</v>
      </c>
      <c r="D44" s="2" t="str">
        <f>VLOOKUP(C44,C4:H12,4,0)</f>
        <v>Hyderabad</v>
      </c>
      <c r="E44" s="13"/>
      <c r="F44" s="15"/>
      <c r="G44" s="15"/>
      <c r="H44" s="16"/>
    </row>
    <row r="45" spans="2:9" x14ac:dyDescent="0.3">
      <c r="B45" s="12"/>
      <c r="C45" s="13"/>
      <c r="D45" s="13"/>
      <c r="E45" s="13"/>
      <c r="F45" s="13"/>
      <c r="G45" s="13"/>
      <c r="H45" s="16"/>
    </row>
    <row r="46" spans="2:9" ht="15" thickBot="1" x14ac:dyDescent="0.35">
      <c r="B46" s="17"/>
      <c r="C46" s="18"/>
      <c r="D46" s="18"/>
      <c r="E46" s="18"/>
      <c r="F46" s="18"/>
      <c r="G46" s="18"/>
      <c r="H46" s="19"/>
    </row>
    <row r="47" spans="2:9" ht="15" thickBot="1" x14ac:dyDescent="0.35"/>
    <row r="48" spans="2:9" x14ac:dyDescent="0.3">
      <c r="B48" s="9"/>
      <c r="C48" s="10"/>
      <c r="D48" s="10"/>
      <c r="E48" s="10"/>
      <c r="F48" s="10"/>
      <c r="G48" s="10"/>
      <c r="H48" s="11"/>
    </row>
    <row r="49" spans="2:8" x14ac:dyDescent="0.3">
      <c r="B49" s="12"/>
      <c r="C49" s="13"/>
      <c r="D49" s="13"/>
      <c r="E49" s="13"/>
      <c r="F49" s="13"/>
      <c r="G49" s="13"/>
      <c r="H49" s="16"/>
    </row>
    <row r="50" spans="2:8" x14ac:dyDescent="0.3">
      <c r="B50" s="12"/>
      <c r="C50" s="1" t="s">
        <v>0</v>
      </c>
      <c r="D50" s="1" t="s">
        <v>1</v>
      </c>
      <c r="E50" s="13"/>
      <c r="F50" s="14" t="s">
        <v>41</v>
      </c>
      <c r="G50" s="15"/>
      <c r="H50" s="16"/>
    </row>
    <row r="51" spans="2:8" x14ac:dyDescent="0.3">
      <c r="B51" s="12"/>
      <c r="C51" s="2" t="s">
        <v>40</v>
      </c>
      <c r="D51" s="2" t="str">
        <f>IFERROR(VLOOKUP(C51,C4:H12,2,0),"INVALID")</f>
        <v>INVALID</v>
      </c>
      <c r="E51" s="13"/>
      <c r="F51" s="15"/>
      <c r="G51" s="15"/>
      <c r="H51" s="16"/>
    </row>
    <row r="52" spans="2:8" x14ac:dyDescent="0.3">
      <c r="B52" s="12"/>
      <c r="C52" s="13"/>
      <c r="D52" s="13"/>
      <c r="E52" s="13"/>
      <c r="F52" s="13"/>
      <c r="G52" s="13"/>
      <c r="H52" s="16"/>
    </row>
    <row r="53" spans="2:8" ht="15" thickBot="1" x14ac:dyDescent="0.35">
      <c r="B53" s="17"/>
      <c r="C53" s="18"/>
      <c r="D53" s="18"/>
      <c r="E53" s="18"/>
      <c r="F53" s="18"/>
      <c r="G53" s="18"/>
      <c r="H53" s="19"/>
    </row>
    <row r="54" spans="2:8" ht="15" thickBot="1" x14ac:dyDescent="0.35"/>
    <row r="55" spans="2:8" x14ac:dyDescent="0.3">
      <c r="B55" s="9"/>
      <c r="C55" s="10"/>
      <c r="D55" s="10"/>
      <c r="E55" s="10"/>
      <c r="F55" s="10"/>
      <c r="G55" s="10"/>
      <c r="H55" s="11"/>
    </row>
    <row r="56" spans="2:8" x14ac:dyDescent="0.3">
      <c r="B56" s="12"/>
      <c r="C56" s="13"/>
      <c r="D56" s="13"/>
      <c r="E56" s="13"/>
      <c r="F56" s="13"/>
      <c r="G56" s="13"/>
      <c r="H56" s="16"/>
    </row>
    <row r="57" spans="2:8" x14ac:dyDescent="0.3">
      <c r="B57" s="12"/>
      <c r="C57" s="1" t="s">
        <v>0</v>
      </c>
      <c r="D57" s="1" t="s">
        <v>5</v>
      </c>
      <c r="E57" s="13"/>
      <c r="F57" s="14" t="s">
        <v>42</v>
      </c>
      <c r="G57" s="15"/>
      <c r="H57" s="16"/>
    </row>
    <row r="58" spans="2:8" x14ac:dyDescent="0.3">
      <c r="B58" s="12"/>
      <c r="C58" s="2" t="s">
        <v>6</v>
      </c>
      <c r="D58" s="2">
        <f>VLOOKUP(C58,C4:H12,6,0)</f>
        <v>2019</v>
      </c>
      <c r="E58" s="13"/>
      <c r="F58" s="15"/>
      <c r="G58" s="15"/>
      <c r="H58" s="16"/>
    </row>
    <row r="59" spans="2:8" x14ac:dyDescent="0.3">
      <c r="B59" s="12"/>
      <c r="C59" s="13"/>
      <c r="D59" s="13"/>
      <c r="E59" s="13"/>
      <c r="F59" s="13"/>
      <c r="G59" s="13"/>
      <c r="H59" s="16"/>
    </row>
    <row r="60" spans="2:8" ht="15" thickBot="1" x14ac:dyDescent="0.35">
      <c r="B60" s="17"/>
      <c r="C60" s="18"/>
      <c r="D60" s="18"/>
      <c r="E60" s="18"/>
      <c r="F60" s="18"/>
      <c r="G60" s="18"/>
      <c r="H60" s="19"/>
    </row>
  </sheetData>
  <mergeCells count="7">
    <mergeCell ref="F50:G51"/>
    <mergeCell ref="F57:G58"/>
    <mergeCell ref="B15:O16"/>
    <mergeCell ref="I18:J19"/>
    <mergeCell ref="J27:K28"/>
    <mergeCell ref="G36:H37"/>
    <mergeCell ref="F43:G4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8DE57-652F-463B-9925-1DA55EFBCECA}">
  <dimension ref="B4:O47"/>
  <sheetViews>
    <sheetView workbookViewId="0">
      <selection activeCell="N36" sqref="N36"/>
    </sheetView>
  </sheetViews>
  <sheetFormatPr defaultRowHeight="14.4" x14ac:dyDescent="0.3"/>
  <cols>
    <col min="3" max="3" width="10.77734375" bestFit="1" customWidth="1"/>
    <col min="4" max="4" width="12.33203125" bestFit="1" customWidth="1"/>
    <col min="5" max="5" width="10.77734375" bestFit="1" customWidth="1"/>
    <col min="6" max="6" width="12.88671875" bestFit="1" customWidth="1"/>
    <col min="7" max="7" width="6" bestFit="1" customWidth="1"/>
    <col min="8" max="8" width="10.21875" bestFit="1" customWidth="1"/>
    <col min="10" max="10" width="10.77734375" bestFit="1" customWidth="1"/>
    <col min="11" max="11" width="5.109375" bestFit="1" customWidth="1"/>
    <col min="12" max="13" width="5" bestFit="1" customWidth="1"/>
    <col min="14" max="14" width="7.21875" bestFit="1" customWidth="1"/>
    <col min="15" max="15" width="9.21875" bestFit="1" customWidth="1"/>
  </cols>
  <sheetData>
    <row r="4" spans="2:15" x14ac:dyDescent="0.3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J4" s="1" t="s">
        <v>2</v>
      </c>
      <c r="K4" s="1" t="s">
        <v>8</v>
      </c>
      <c r="L4" s="1" t="s">
        <v>12</v>
      </c>
      <c r="M4" s="1" t="s">
        <v>16</v>
      </c>
      <c r="N4" s="1" t="s">
        <v>20</v>
      </c>
      <c r="O4" s="1" t="s">
        <v>24</v>
      </c>
    </row>
    <row r="5" spans="2:15" x14ac:dyDescent="0.3">
      <c r="C5" s="2" t="s">
        <v>6</v>
      </c>
      <c r="D5" s="2" t="s">
        <v>7</v>
      </c>
      <c r="E5" s="2" t="s">
        <v>8</v>
      </c>
      <c r="F5" s="2" t="s">
        <v>9</v>
      </c>
      <c r="G5" s="2">
        <v>45000</v>
      </c>
      <c r="H5" s="2">
        <v>2019</v>
      </c>
      <c r="J5" s="2" t="s">
        <v>33</v>
      </c>
      <c r="K5" s="2">
        <v>0.1</v>
      </c>
      <c r="L5" s="2">
        <v>0.08</v>
      </c>
      <c r="M5" s="2">
        <v>0.12</v>
      </c>
      <c r="N5" s="2">
        <v>0.15</v>
      </c>
      <c r="O5" s="2">
        <v>0.09</v>
      </c>
    </row>
    <row r="6" spans="2:15" x14ac:dyDescent="0.3">
      <c r="C6" s="2" t="s">
        <v>10</v>
      </c>
      <c r="D6" s="2" t="s">
        <v>11</v>
      </c>
      <c r="E6" s="2" t="s">
        <v>12</v>
      </c>
      <c r="F6" s="2" t="s">
        <v>13</v>
      </c>
      <c r="G6" s="2">
        <v>52000</v>
      </c>
      <c r="H6" s="2">
        <v>2018</v>
      </c>
    </row>
    <row r="7" spans="2:15" x14ac:dyDescent="0.3">
      <c r="C7" s="2" t="s">
        <v>14</v>
      </c>
      <c r="D7" s="2" t="s">
        <v>15</v>
      </c>
      <c r="E7" s="2" t="s">
        <v>16</v>
      </c>
      <c r="F7" s="2" t="s">
        <v>17</v>
      </c>
      <c r="G7" s="2">
        <v>65000</v>
      </c>
      <c r="H7" s="2">
        <v>2020</v>
      </c>
    </row>
    <row r="8" spans="2:15" x14ac:dyDescent="0.3">
      <c r="C8" s="2" t="s">
        <v>18</v>
      </c>
      <c r="D8" s="2" t="s">
        <v>19</v>
      </c>
      <c r="E8" s="2" t="s">
        <v>20</v>
      </c>
      <c r="F8" s="2" t="s">
        <v>21</v>
      </c>
      <c r="G8" s="2">
        <v>58000</v>
      </c>
      <c r="H8" s="2">
        <v>2017</v>
      </c>
    </row>
    <row r="9" spans="2:15" x14ac:dyDescent="0.3">
      <c r="C9" s="2" t="s">
        <v>22</v>
      </c>
      <c r="D9" s="2" t="s">
        <v>23</v>
      </c>
      <c r="E9" s="2" t="s">
        <v>24</v>
      </c>
      <c r="F9" s="2" t="s">
        <v>9</v>
      </c>
      <c r="G9" s="2">
        <v>48000</v>
      </c>
      <c r="H9" s="2">
        <v>2021</v>
      </c>
    </row>
    <row r="10" spans="2:15" x14ac:dyDescent="0.3">
      <c r="C10" s="2" t="s">
        <v>25</v>
      </c>
      <c r="D10" s="2" t="s">
        <v>26</v>
      </c>
      <c r="E10" s="2" t="s">
        <v>16</v>
      </c>
      <c r="F10" s="2" t="s">
        <v>27</v>
      </c>
      <c r="G10" s="2">
        <v>62000</v>
      </c>
      <c r="H10" s="2">
        <v>2019</v>
      </c>
    </row>
    <row r="11" spans="2:15" x14ac:dyDescent="0.3">
      <c r="C11" s="2" t="s">
        <v>28</v>
      </c>
      <c r="D11" s="2" t="s">
        <v>29</v>
      </c>
      <c r="E11" s="2" t="s">
        <v>8</v>
      </c>
      <c r="F11" s="2" t="s">
        <v>30</v>
      </c>
      <c r="G11" s="2">
        <v>47000</v>
      </c>
      <c r="H11" s="2">
        <v>2020</v>
      </c>
    </row>
    <row r="12" spans="2:15" x14ac:dyDescent="0.3">
      <c r="C12" s="2" t="s">
        <v>31</v>
      </c>
      <c r="D12" s="2" t="s">
        <v>32</v>
      </c>
      <c r="E12" s="2" t="s">
        <v>12</v>
      </c>
      <c r="F12" s="2" t="s">
        <v>17</v>
      </c>
      <c r="G12" s="2">
        <v>54000</v>
      </c>
      <c r="H12" s="2">
        <v>2016</v>
      </c>
    </row>
    <row r="14" spans="2:15" ht="15" thickBot="1" x14ac:dyDescent="0.35"/>
    <row r="15" spans="2:15" x14ac:dyDescent="0.3">
      <c r="B15" s="25" t="s">
        <v>43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/>
    </row>
    <row r="16" spans="2:15" ht="15" thickBot="1" x14ac:dyDescent="0.35"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4"/>
    </row>
    <row r="17" spans="2:10" ht="15" thickBot="1" x14ac:dyDescent="0.35"/>
    <row r="18" spans="2:10" x14ac:dyDescent="0.3">
      <c r="B18" s="9"/>
      <c r="C18" s="10"/>
      <c r="D18" s="10"/>
      <c r="E18" s="10"/>
      <c r="F18" s="10"/>
      <c r="G18" s="10"/>
      <c r="H18" s="11"/>
    </row>
    <row r="19" spans="2:10" ht="15" thickBot="1" x14ac:dyDescent="0.35">
      <c r="B19" s="12"/>
      <c r="C19" s="13"/>
      <c r="D19" s="13"/>
      <c r="E19" s="13"/>
      <c r="F19" s="13"/>
      <c r="G19" s="13"/>
      <c r="H19" s="16"/>
    </row>
    <row r="20" spans="2:10" x14ac:dyDescent="0.3">
      <c r="B20" s="12"/>
      <c r="C20" s="3" t="s">
        <v>2</v>
      </c>
      <c r="D20" s="3" t="s">
        <v>44</v>
      </c>
      <c r="E20" s="13"/>
      <c r="F20" s="27" t="s">
        <v>45</v>
      </c>
      <c r="G20" s="21"/>
      <c r="H20" s="16"/>
    </row>
    <row r="21" spans="2:10" ht="15" thickBot="1" x14ac:dyDescent="0.35">
      <c r="B21" s="12"/>
      <c r="C21" s="2" t="s">
        <v>16</v>
      </c>
      <c r="D21" s="2">
        <f>HLOOKUP(C21,J4:O5,2,0)</f>
        <v>0.12</v>
      </c>
      <c r="E21" s="13"/>
      <c r="F21" s="22"/>
      <c r="G21" s="24"/>
      <c r="H21" s="16"/>
    </row>
    <row r="22" spans="2:10" x14ac:dyDescent="0.3">
      <c r="B22" s="12"/>
      <c r="C22" s="13"/>
      <c r="D22" s="13"/>
      <c r="E22" s="13"/>
      <c r="F22" s="13"/>
      <c r="G22" s="13"/>
      <c r="H22" s="16"/>
    </row>
    <row r="23" spans="2:10" ht="15" thickBot="1" x14ac:dyDescent="0.35">
      <c r="B23" s="17"/>
      <c r="C23" s="18"/>
      <c r="D23" s="18"/>
      <c r="E23" s="18"/>
      <c r="F23" s="18"/>
      <c r="G23" s="18"/>
      <c r="H23" s="19"/>
    </row>
    <row r="24" spans="2:10" ht="15" thickBot="1" x14ac:dyDescent="0.35"/>
    <row r="25" spans="2:10" x14ac:dyDescent="0.3">
      <c r="B25" s="9"/>
      <c r="C25" s="10"/>
      <c r="D25" s="10"/>
      <c r="E25" s="10"/>
      <c r="F25" s="10"/>
      <c r="G25" s="10"/>
      <c r="H25" s="11"/>
    </row>
    <row r="26" spans="2:10" ht="15" thickBot="1" x14ac:dyDescent="0.35">
      <c r="B26" s="12"/>
      <c r="C26" s="13"/>
      <c r="D26" s="13"/>
      <c r="E26" s="13"/>
      <c r="F26" s="13"/>
      <c r="G26" s="13"/>
      <c r="H26" s="16"/>
    </row>
    <row r="27" spans="2:10" x14ac:dyDescent="0.3">
      <c r="B27" s="12"/>
      <c r="C27" s="3" t="s">
        <v>2</v>
      </c>
      <c r="D27" s="3" t="s">
        <v>44</v>
      </c>
      <c r="E27" s="13"/>
      <c r="F27" s="27" t="s">
        <v>46</v>
      </c>
      <c r="G27" s="21"/>
      <c r="H27" s="16"/>
    </row>
    <row r="28" spans="2:10" ht="15" thickBot="1" x14ac:dyDescent="0.35">
      <c r="B28" s="12"/>
      <c r="C28" s="2" t="s">
        <v>20</v>
      </c>
      <c r="D28" s="2">
        <f>HLOOKUP(C28,J4:O5,2,0)</f>
        <v>0.15</v>
      </c>
      <c r="E28" s="13"/>
      <c r="F28" s="22"/>
      <c r="G28" s="24"/>
      <c r="H28" s="16"/>
    </row>
    <row r="29" spans="2:10" x14ac:dyDescent="0.3">
      <c r="B29" s="12"/>
      <c r="C29" s="13"/>
      <c r="D29" s="13"/>
      <c r="E29" s="13"/>
      <c r="F29" s="13"/>
      <c r="G29" s="13"/>
      <c r="H29" s="16"/>
    </row>
    <row r="30" spans="2:10" ht="15" thickBot="1" x14ac:dyDescent="0.35">
      <c r="B30" s="17"/>
      <c r="C30" s="18"/>
      <c r="D30" s="18"/>
      <c r="E30" s="18"/>
      <c r="F30" s="18"/>
      <c r="G30" s="18"/>
      <c r="H30" s="19"/>
    </row>
    <row r="31" spans="2:10" ht="15" thickBot="1" x14ac:dyDescent="0.35"/>
    <row r="32" spans="2:10" x14ac:dyDescent="0.3">
      <c r="B32" s="9"/>
      <c r="C32" s="10"/>
      <c r="D32" s="10"/>
      <c r="E32" s="10"/>
      <c r="F32" s="10"/>
      <c r="G32" s="10"/>
      <c r="H32" s="10"/>
      <c r="I32" s="10"/>
      <c r="J32" s="11"/>
    </row>
    <row r="33" spans="2:10" x14ac:dyDescent="0.3">
      <c r="B33" s="12"/>
      <c r="C33" s="13"/>
      <c r="D33" s="13"/>
      <c r="E33" s="13"/>
      <c r="F33" s="13"/>
      <c r="G33" s="13"/>
      <c r="H33" s="13"/>
      <c r="I33" s="13"/>
      <c r="J33" s="16"/>
    </row>
    <row r="34" spans="2:10" ht="15" thickBot="1" x14ac:dyDescent="0.35">
      <c r="B34" s="12"/>
      <c r="C34" s="1" t="s">
        <v>0</v>
      </c>
      <c r="D34" s="3" t="s">
        <v>4</v>
      </c>
      <c r="E34" s="3" t="s">
        <v>44</v>
      </c>
      <c r="F34" s="3" t="s">
        <v>47</v>
      </c>
      <c r="G34" s="13"/>
      <c r="H34" s="13"/>
      <c r="I34" s="13"/>
      <c r="J34" s="16"/>
    </row>
    <row r="35" spans="2:10" x14ac:dyDescent="0.3">
      <c r="B35" s="12"/>
      <c r="C35" s="2" t="s">
        <v>18</v>
      </c>
      <c r="D35" s="2">
        <v>58000</v>
      </c>
      <c r="E35" s="2">
        <v>0.15</v>
      </c>
      <c r="F35" s="2">
        <f>D35*E35</f>
        <v>8700</v>
      </c>
      <c r="G35" s="13"/>
      <c r="H35" s="27" t="s">
        <v>48</v>
      </c>
      <c r="I35" s="21"/>
      <c r="J35" s="16"/>
    </row>
    <row r="36" spans="2:10" ht="15" thickBot="1" x14ac:dyDescent="0.35">
      <c r="B36" s="12"/>
      <c r="C36" s="13"/>
      <c r="D36" s="13"/>
      <c r="E36" s="13"/>
      <c r="F36" s="13"/>
      <c r="G36" s="13"/>
      <c r="H36" s="22"/>
      <c r="I36" s="24"/>
      <c r="J36" s="16"/>
    </row>
    <row r="37" spans="2:10" x14ac:dyDescent="0.3">
      <c r="B37" s="12"/>
      <c r="C37" s="1" t="s">
        <v>0</v>
      </c>
      <c r="D37" s="3" t="s">
        <v>4</v>
      </c>
      <c r="E37" s="3" t="s">
        <v>44</v>
      </c>
      <c r="F37" s="3" t="s">
        <v>47</v>
      </c>
      <c r="G37" s="13"/>
      <c r="H37" s="13"/>
      <c r="I37" s="13"/>
      <c r="J37" s="16"/>
    </row>
    <row r="38" spans="2:10" x14ac:dyDescent="0.3">
      <c r="B38" s="12"/>
      <c r="C38" s="2" t="s">
        <v>18</v>
      </c>
      <c r="D38" s="2"/>
      <c r="E38" s="2"/>
      <c r="F38" s="2"/>
      <c r="G38" s="13"/>
      <c r="H38" s="13"/>
      <c r="I38" s="13"/>
      <c r="J38" s="16"/>
    </row>
    <row r="39" spans="2:10" x14ac:dyDescent="0.3">
      <c r="B39" s="12"/>
      <c r="C39" s="13"/>
      <c r="D39" s="13"/>
      <c r="E39" s="13"/>
      <c r="F39" s="13"/>
      <c r="G39" s="13"/>
      <c r="H39" s="13"/>
      <c r="I39" s="13"/>
      <c r="J39" s="16"/>
    </row>
    <row r="40" spans="2:10" ht="15" thickBot="1" x14ac:dyDescent="0.35">
      <c r="B40" s="17"/>
      <c r="C40" s="18"/>
      <c r="D40" s="18"/>
      <c r="E40" s="18"/>
      <c r="F40" s="18"/>
      <c r="G40" s="18"/>
      <c r="H40" s="18"/>
      <c r="I40" s="18"/>
      <c r="J40" s="19"/>
    </row>
    <row r="41" spans="2:10" ht="15" thickBot="1" x14ac:dyDescent="0.35"/>
    <row r="42" spans="2:10" x14ac:dyDescent="0.3">
      <c r="B42" s="9"/>
      <c r="C42" s="10"/>
      <c r="D42" s="10"/>
      <c r="E42" s="10"/>
      <c r="F42" s="10"/>
      <c r="G42" s="10"/>
      <c r="H42" s="11"/>
    </row>
    <row r="43" spans="2:10" ht="15" thickBot="1" x14ac:dyDescent="0.35">
      <c r="B43" s="12"/>
      <c r="C43" s="13"/>
      <c r="D43" s="13"/>
      <c r="E43" s="13"/>
      <c r="F43" s="13"/>
      <c r="G43" s="13"/>
      <c r="H43" s="16"/>
    </row>
    <row r="44" spans="2:10" x14ac:dyDescent="0.3">
      <c r="B44" s="12"/>
      <c r="C44" s="3" t="s">
        <v>2</v>
      </c>
      <c r="D44" s="2"/>
      <c r="E44" s="13"/>
      <c r="F44" s="27" t="s">
        <v>50</v>
      </c>
      <c r="G44" s="21"/>
      <c r="H44" s="16"/>
    </row>
    <row r="45" spans="2:10" ht="15" thickBot="1" x14ac:dyDescent="0.35">
      <c r="B45" s="12"/>
      <c r="C45" s="3" t="s">
        <v>49</v>
      </c>
      <c r="D45" s="2" t="str">
        <f>IFERROR(HLOOKUP(C45,C4:H12,2,0),"INVALID")</f>
        <v>INVALID</v>
      </c>
      <c r="E45" s="13"/>
      <c r="F45" s="22"/>
      <c r="G45" s="24"/>
      <c r="H45" s="16"/>
    </row>
    <row r="46" spans="2:10" x14ac:dyDescent="0.3">
      <c r="B46" s="12"/>
      <c r="C46" s="13"/>
      <c r="D46" s="13"/>
      <c r="E46" s="13"/>
      <c r="F46" s="13"/>
      <c r="G46" s="13"/>
      <c r="H46" s="16"/>
    </row>
    <row r="47" spans="2:10" ht="15" thickBot="1" x14ac:dyDescent="0.35">
      <c r="B47" s="17"/>
      <c r="C47" s="18"/>
      <c r="D47" s="18"/>
      <c r="E47" s="18"/>
      <c r="F47" s="18"/>
      <c r="G47" s="18"/>
      <c r="H47" s="19"/>
    </row>
  </sheetData>
  <mergeCells count="5">
    <mergeCell ref="B15:O16"/>
    <mergeCell ref="F20:G21"/>
    <mergeCell ref="F27:G28"/>
    <mergeCell ref="H35:I36"/>
    <mergeCell ref="F44:G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2026-06-29T19:16:11Z</dcterms:created>
  <dcterms:modified xsi:type="dcterms:W3CDTF">2026-06-29T20:17:28Z</dcterms:modified>
</cp:coreProperties>
</file>