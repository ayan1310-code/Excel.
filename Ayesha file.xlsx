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yaan Excel\"/>
    </mc:Choice>
  </mc:AlternateContent>
  <xr:revisionPtr revIDLastSave="0" documentId="13_ncr:1_{428E759A-55BF-42BB-961C-297678147AEA}" xr6:coauthVersionLast="36" xr6:coauthVersionMax="36" xr10:uidLastSave="{00000000-0000-0000-0000-000000000000}"/>
  <bookViews>
    <workbookView xWindow="0" yWindow="0" windowWidth="23040" windowHeight="8940" activeTab="1" xr2:uid="{B5112EE5-CFDE-456F-AA52-F9992B796BC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4" i="2" l="1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23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96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70" i="2"/>
  <c r="D45" i="4"/>
  <c r="D46" i="4"/>
  <c r="D47" i="4"/>
  <c r="D48" i="4"/>
  <c r="D44" i="4"/>
  <c r="E57" i="4"/>
  <c r="E58" i="4"/>
  <c r="E59" i="4"/>
  <c r="E60" i="4"/>
  <c r="E56" i="4"/>
  <c r="D33" i="4" l="1"/>
  <c r="D34" i="4"/>
  <c r="D35" i="4"/>
  <c r="D36" i="4"/>
  <c r="D32" i="4"/>
  <c r="E24" i="4"/>
  <c r="E20" i="4"/>
  <c r="E21" i="4"/>
  <c r="E22" i="4"/>
  <c r="E23" i="4"/>
  <c r="E19" i="4"/>
  <c r="D29" i="2"/>
  <c r="D28" i="2"/>
  <c r="E8" i="4"/>
  <c r="E9" i="4"/>
  <c r="E10" i="4"/>
  <c r="E11" i="4"/>
  <c r="E7" i="4"/>
  <c r="E60" i="3"/>
  <c r="E61" i="3"/>
  <c r="E62" i="3"/>
  <c r="E63" i="3"/>
  <c r="E59" i="3"/>
  <c r="E42" i="3"/>
  <c r="E7" i="3"/>
  <c r="E8" i="3"/>
  <c r="E9" i="3"/>
  <c r="E10" i="3"/>
  <c r="E11" i="3"/>
  <c r="D19" i="3"/>
  <c r="D20" i="3"/>
  <c r="D21" i="3"/>
  <c r="D22" i="3"/>
  <c r="D30" i="3"/>
  <c r="D31" i="3"/>
  <c r="D32" i="3"/>
  <c r="D33" i="3"/>
  <c r="D34" i="3"/>
  <c r="E43" i="3"/>
  <c r="E44" i="3"/>
  <c r="E45" i="3"/>
  <c r="E46" i="3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37" i="2"/>
  <c r="D59" i="2" l="1"/>
  <c r="E61" i="2"/>
  <c r="C145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22" i="1"/>
  <c r="D114" i="1"/>
  <c r="D113" i="1"/>
  <c r="D109" i="1"/>
  <c r="E62" i="2" l="1"/>
  <c r="D58" i="2" s="1"/>
  <c r="E147" i="1"/>
  <c r="E143" i="1"/>
  <c r="E150" i="1"/>
  <c r="E149" i="1"/>
  <c r="E148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61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I80" i="1" l="1"/>
  <c r="J80" i="1" s="1"/>
  <c r="I76" i="1"/>
  <c r="J76" i="1" s="1"/>
  <c r="I72" i="1"/>
  <c r="J72" i="1" s="1"/>
  <c r="I68" i="1"/>
  <c r="J68" i="1" s="1"/>
  <c r="I78" i="1"/>
  <c r="J78" i="1" s="1"/>
  <c r="I74" i="1"/>
  <c r="J74" i="1" s="1"/>
  <c r="I70" i="1"/>
  <c r="J70" i="1" s="1"/>
  <c r="I66" i="1"/>
  <c r="J66" i="1" s="1"/>
  <c r="I62" i="1"/>
  <c r="J62" i="1" s="1"/>
  <c r="I64" i="1"/>
  <c r="J64" i="1" s="1"/>
  <c r="I79" i="1"/>
  <c r="J79" i="1" s="1"/>
  <c r="I75" i="1"/>
  <c r="J75" i="1" s="1"/>
  <c r="I71" i="1"/>
  <c r="J71" i="1" s="1"/>
  <c r="I67" i="1"/>
  <c r="J67" i="1" s="1"/>
  <c r="I63" i="1"/>
  <c r="J63" i="1" s="1"/>
  <c r="D81" i="1"/>
  <c r="I61" i="1"/>
  <c r="J61" i="1" s="1"/>
  <c r="I77" i="1"/>
  <c r="J77" i="1" s="1"/>
  <c r="I73" i="1"/>
  <c r="J73" i="1" s="1"/>
  <c r="I69" i="1"/>
  <c r="J69" i="1" s="1"/>
  <c r="I65" i="1"/>
  <c r="J65" i="1" s="1"/>
  <c r="E81" i="1"/>
  <c r="H81" i="1"/>
  <c r="G81" i="1"/>
  <c r="F81" i="1"/>
  <c r="I81" i="1" l="1"/>
</calcChain>
</file>

<file path=xl/sharedStrings.xml><?xml version="1.0" encoding="utf-8"?>
<sst xmlns="http://schemas.openxmlformats.org/spreadsheetml/2006/main" count="571" uniqueCount="156">
  <si>
    <t>Task : 1</t>
  </si>
  <si>
    <t>Sr.no</t>
  </si>
  <si>
    <t xml:space="preserve">Name </t>
  </si>
  <si>
    <t>Age</t>
  </si>
  <si>
    <t>Salary</t>
  </si>
  <si>
    <t>Department</t>
  </si>
  <si>
    <t>Date</t>
  </si>
  <si>
    <t>Ayaan</t>
  </si>
  <si>
    <t>Faisal</t>
  </si>
  <si>
    <t>Aaman</t>
  </si>
  <si>
    <t>Faizan</t>
  </si>
  <si>
    <t>Moin</t>
  </si>
  <si>
    <t>IT</t>
  </si>
  <si>
    <t>Sales</t>
  </si>
  <si>
    <t>HR</t>
  </si>
  <si>
    <t>Finance</t>
  </si>
  <si>
    <t>Task : 2</t>
  </si>
  <si>
    <t xml:space="preserve">Product Name </t>
  </si>
  <si>
    <t>Areas</t>
  </si>
  <si>
    <t>Sales Amount</t>
  </si>
  <si>
    <t>Sales Person</t>
  </si>
  <si>
    <t>Iphone 15</t>
  </si>
  <si>
    <t>One plus (mobile)</t>
  </si>
  <si>
    <t xml:space="preserve">KDM ear buds </t>
  </si>
  <si>
    <t>Lenovo Laptop</t>
  </si>
  <si>
    <t>Iphone 16</t>
  </si>
  <si>
    <t>Iphone 17</t>
  </si>
  <si>
    <t>Iphone 18</t>
  </si>
  <si>
    <t>Iphone 19</t>
  </si>
  <si>
    <t xml:space="preserve">Shahpur </t>
  </si>
  <si>
    <t>Gota</t>
  </si>
  <si>
    <t>Sarkhej</t>
  </si>
  <si>
    <t>Charmin</t>
  </si>
  <si>
    <t>Vanshika</t>
  </si>
  <si>
    <t>Zaid</t>
  </si>
  <si>
    <t>Khushi</t>
  </si>
  <si>
    <t>Khanpur</t>
  </si>
  <si>
    <t>Sales Report - Beautification</t>
  </si>
  <si>
    <t>Task : 3</t>
  </si>
  <si>
    <t>Roll NO</t>
  </si>
  <si>
    <t>Student Name</t>
  </si>
  <si>
    <t>English</t>
  </si>
  <si>
    <t xml:space="preserve">Maths </t>
  </si>
  <si>
    <t>Science</t>
  </si>
  <si>
    <t>Hindi</t>
  </si>
  <si>
    <t>Computer</t>
  </si>
  <si>
    <t>Percentage</t>
  </si>
  <si>
    <t>Krish</t>
  </si>
  <si>
    <t>Mc</t>
  </si>
  <si>
    <t>Haji</t>
  </si>
  <si>
    <t>Komal</t>
  </si>
  <si>
    <t>Riya</t>
  </si>
  <si>
    <t>Student Marks Sheet-Formatting</t>
  </si>
  <si>
    <t>Employee sheet-basic formatting</t>
  </si>
  <si>
    <t>Task : 4</t>
  </si>
  <si>
    <t>Product</t>
  </si>
  <si>
    <t>laptop</t>
  </si>
  <si>
    <t>A.C</t>
  </si>
  <si>
    <t xml:space="preserve">Iphone </t>
  </si>
  <si>
    <t>Total sales</t>
  </si>
  <si>
    <t>Invoice no</t>
  </si>
  <si>
    <t>Average Sales</t>
  </si>
  <si>
    <t>Highest sales</t>
  </si>
  <si>
    <t>lowest sales</t>
  </si>
  <si>
    <t xml:space="preserve">Sales Summary – Aggregation Functions </t>
  </si>
  <si>
    <t>Task : 5</t>
  </si>
  <si>
    <t>Vhagar</t>
  </si>
  <si>
    <t>Caraxes</t>
  </si>
  <si>
    <t>Syrax</t>
  </si>
  <si>
    <t>Sunfyre</t>
  </si>
  <si>
    <t>Meleys</t>
  </si>
  <si>
    <t>FINANCE</t>
  </si>
  <si>
    <t>SALES</t>
  </si>
  <si>
    <t>Total HR salary</t>
  </si>
  <si>
    <t>Total IT salary</t>
  </si>
  <si>
    <t>Total FINANCE salary</t>
  </si>
  <si>
    <t>Total SALES salary</t>
  </si>
  <si>
    <t>Average Salary</t>
  </si>
  <si>
    <t>Count Employee</t>
  </si>
  <si>
    <t>Department-wise Salary Analysis</t>
  </si>
  <si>
    <t>Task : 6</t>
  </si>
  <si>
    <t>Monday</t>
  </si>
  <si>
    <t>Tuesday</t>
  </si>
  <si>
    <t>Wednesday</t>
  </si>
  <si>
    <t>Thursday</t>
  </si>
  <si>
    <t>Friday</t>
  </si>
  <si>
    <t>Saturday</t>
  </si>
  <si>
    <t>Bellion</t>
  </si>
  <si>
    <t>Beru</t>
  </si>
  <si>
    <t>Igris</t>
  </si>
  <si>
    <t>Tusk</t>
  </si>
  <si>
    <t>Greed</t>
  </si>
  <si>
    <t xml:space="preserve">Total Present </t>
  </si>
  <si>
    <t>Total Absent</t>
  </si>
  <si>
    <t>Total</t>
  </si>
  <si>
    <t>P</t>
  </si>
  <si>
    <t>A</t>
  </si>
  <si>
    <t>Attendance Sheet – COUNTIF</t>
  </si>
  <si>
    <t>Task : 7</t>
  </si>
  <si>
    <t xml:space="preserve">Order ID </t>
  </si>
  <si>
    <t>Count sales above 10000</t>
  </si>
  <si>
    <t>Count sales below 7000</t>
  </si>
  <si>
    <t>Task : 8</t>
  </si>
  <si>
    <t>Aman</t>
  </si>
  <si>
    <t>Marks</t>
  </si>
  <si>
    <t>Grade</t>
  </si>
  <si>
    <t>Performance</t>
  </si>
  <si>
    <t>Result</t>
  </si>
  <si>
    <t>Farhan</t>
  </si>
  <si>
    <t>Umar</t>
  </si>
  <si>
    <t>Shail</t>
  </si>
  <si>
    <t xml:space="preserve">Emp name </t>
  </si>
  <si>
    <t>Bonus</t>
  </si>
  <si>
    <t xml:space="preserve">Student Name </t>
  </si>
  <si>
    <t xml:space="preserve">Age </t>
  </si>
  <si>
    <t>Experience(Years)</t>
  </si>
  <si>
    <t>Eligible</t>
  </si>
  <si>
    <t>Attendance</t>
  </si>
  <si>
    <t>Assignment Submitted</t>
  </si>
  <si>
    <t>Yes</t>
  </si>
  <si>
    <t>No</t>
  </si>
  <si>
    <t>Roll no</t>
  </si>
  <si>
    <t>Name</t>
  </si>
  <si>
    <t>task : 6</t>
  </si>
  <si>
    <t>Customer Name</t>
  </si>
  <si>
    <t>Purchase Amount</t>
  </si>
  <si>
    <t>Membership</t>
  </si>
  <si>
    <t>NO</t>
  </si>
  <si>
    <t>YES</t>
  </si>
  <si>
    <t xml:space="preserve">Discount </t>
  </si>
  <si>
    <t>Application</t>
  </si>
  <si>
    <t>CIBIL Score</t>
  </si>
  <si>
    <t>Loan Status</t>
  </si>
  <si>
    <t>Present</t>
  </si>
  <si>
    <t>Status</t>
  </si>
  <si>
    <t>Task : 9</t>
  </si>
  <si>
    <t>No.1</t>
  </si>
  <si>
    <t>No.2</t>
  </si>
  <si>
    <t>Task : 10</t>
  </si>
  <si>
    <t>EMP Name</t>
  </si>
  <si>
    <t>Target Achieved</t>
  </si>
  <si>
    <t xml:space="preserve"> Pass / Fail using IF</t>
  </si>
  <si>
    <t>Salary Bonus Check (IF)</t>
  </si>
  <si>
    <t xml:space="preserve"> Grade Calculation (Nested IF)</t>
  </si>
  <si>
    <t xml:space="preserve"> Job Eligibility (AND)</t>
  </si>
  <si>
    <t>Exam Eligibility (AND)</t>
  </si>
  <si>
    <t xml:space="preserve"> Discount Logic (OR)</t>
  </si>
  <si>
    <t xml:space="preserve"> Loan Approval (OR)</t>
  </si>
  <si>
    <t xml:space="preserve"> Attendance Status (NOT)</t>
  </si>
  <si>
    <t>Safe Division (IFERROR)</t>
  </si>
  <si>
    <t>Performance Evaluation (Combined Logic)</t>
  </si>
  <si>
    <t xml:space="preserve">Marks </t>
  </si>
  <si>
    <t>Sales Count Logic</t>
  </si>
  <si>
    <t xml:space="preserve"> Conditional Formatting – Sales</t>
  </si>
  <si>
    <t xml:space="preserve"> Student Result Highlight</t>
  </si>
  <si>
    <t>Salary Band –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</si>
</sst>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>
    <font>
      <sz val="11"/>
      <color theme="1"/>
      <name val="Calibri"/>
      <family val="2"/>
      <scheme val="minor"/>
    </font>
    <font>
      <sz val="28"/>
      <color theme="2"/>
      <name val="Chiller"/>
      <family val="5"/>
    </font>
    <font>
      <b/>
      <sz val="16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sz val="20"/>
      <color theme="2"/>
      <name val="Algerian"/>
      <family val="5"/>
    </font>
    <font>
      <b/>
      <sz val="14"/>
      <color theme="1"/>
      <name val="Cell style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0F6FC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2"/>
      <name val="Arial Black"/>
      <family val="2"/>
    </font>
    <font>
      <sz val="11"/>
      <color theme="2"/>
      <name val="Arial Black"/>
      <family val="2"/>
    </font>
    <font>
      <sz val="12"/>
      <color theme="7" tint="-0.499984740745262"/>
      <name val="Arial Black"/>
      <family val="2"/>
    </font>
    <font>
      <sz val="11"/>
      <color theme="7" tint="-0.499984740745262"/>
      <name val="Arial Black"/>
      <family val="2"/>
    </font>
    <font>
      <b/>
      <sz val="14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sz val="11"/>
      <color theme="5" tint="0.59999389629810485"/>
      <name val="Calibri"/>
      <family val="2"/>
      <scheme val="minor"/>
    </font>
    <font>
      <sz val="11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49" fontId="5" fillId="3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0" fontId="6" fillId="0" borderId="1" xfId="0" applyFont="1" applyBorder="1"/>
    <xf numFmtId="0" fontId="6" fillId="4" borderId="1" xfId="0" applyFont="1" applyFill="1" applyBorder="1"/>
    <xf numFmtId="0" fontId="7" fillId="5" borderId="1" xfId="0" applyFont="1" applyFill="1" applyBorder="1"/>
    <xf numFmtId="0" fontId="10" fillId="0" borderId="0" xfId="2"/>
    <xf numFmtId="0" fontId="11" fillId="7" borderId="1" xfId="0" applyFont="1" applyFill="1" applyBorder="1"/>
    <xf numFmtId="0" fontId="12" fillId="7" borderId="1" xfId="0" applyFont="1" applyFill="1" applyBorder="1"/>
    <xf numFmtId="0" fontId="9" fillId="6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/>
    <xf numFmtId="0" fontId="14" fillId="8" borderId="1" xfId="0" applyFont="1" applyFill="1" applyBorder="1"/>
    <xf numFmtId="49" fontId="15" fillId="9" borderId="1" xfId="0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10" borderId="1" xfId="0" applyFont="1" applyFill="1" applyBorder="1"/>
    <xf numFmtId="0" fontId="17" fillId="10" borderId="1" xfId="0" applyFont="1" applyFill="1" applyBorder="1"/>
    <xf numFmtId="10" fontId="16" fillId="10" borderId="1" xfId="1" applyNumberFormat="1" applyFont="1" applyFill="1" applyBorder="1"/>
    <xf numFmtId="0" fontId="4" fillId="1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11" borderId="1" xfId="0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23"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62CF-C0CD-4840-A625-2C1C12EFC980}">
  <dimension ref="A1:V151"/>
  <sheetViews>
    <sheetView topLeftCell="A113" zoomScale="65" zoomScaleNormal="110" workbookViewId="0">
      <selection activeCell="H145" sqref="H145"/>
    </sheetView>
  </sheetViews>
  <sheetFormatPr defaultRowHeight="14.4"/>
  <cols>
    <col min="1" max="1" width="18.5546875" customWidth="1"/>
    <col min="2" max="2" width="20.6640625" bestFit="1" customWidth="1"/>
    <col min="3" max="3" width="20.109375" bestFit="1" customWidth="1"/>
    <col min="4" max="4" width="18.6640625" bestFit="1" customWidth="1"/>
    <col min="5" max="5" width="18.77734375" bestFit="1" customWidth="1"/>
    <col min="6" max="6" width="18.109375" bestFit="1" customWidth="1"/>
    <col min="7" max="7" width="17" bestFit="1" customWidth="1"/>
    <col min="8" max="8" width="13.44140625" bestFit="1" customWidth="1"/>
    <col min="9" max="9" width="7.5546875" bestFit="1" customWidth="1"/>
    <col min="10" max="10" width="13.109375" bestFit="1" customWidth="1"/>
  </cols>
  <sheetData>
    <row r="1" spans="1:22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9"/>
    </row>
    <row r="2" spans="1:22">
      <c r="A2" s="30"/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</row>
    <row r="3" spans="1:22">
      <c r="A3" s="3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1"/>
    </row>
    <row r="4" spans="1:22">
      <c r="A4" s="3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1"/>
    </row>
    <row r="5" spans="1:22">
      <c r="A5" s="30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31"/>
    </row>
    <row r="6" spans="1:22" ht="28.2">
      <c r="A6" s="30"/>
      <c r="B6" s="13"/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13"/>
      <c r="J6" s="13"/>
      <c r="K6" s="38" t="s">
        <v>53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1"/>
    </row>
    <row r="7" spans="1:22">
      <c r="A7" s="30"/>
      <c r="B7" s="13"/>
      <c r="C7" s="1">
        <v>1</v>
      </c>
      <c r="D7" s="1" t="s">
        <v>7</v>
      </c>
      <c r="E7" s="1">
        <v>26</v>
      </c>
      <c r="F7" s="4">
        <v>49959</v>
      </c>
      <c r="G7" s="1" t="s">
        <v>12</v>
      </c>
      <c r="H7" s="2">
        <v>10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31"/>
    </row>
    <row r="8" spans="1:22">
      <c r="A8" s="30"/>
      <c r="B8" s="13"/>
      <c r="C8" s="1">
        <v>2</v>
      </c>
      <c r="D8" s="1" t="s">
        <v>8</v>
      </c>
      <c r="E8" s="1">
        <f t="shared" ref="E8:E26" ca="1" si="0">RANDBETWEEN(20,30)</f>
        <v>22</v>
      </c>
      <c r="F8" s="4">
        <v>41869</v>
      </c>
      <c r="G8" s="1" t="s">
        <v>13</v>
      </c>
      <c r="H8" s="2">
        <v>11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31"/>
    </row>
    <row r="9" spans="1:22">
      <c r="A9" s="30"/>
      <c r="B9" s="13"/>
      <c r="C9" s="1">
        <v>3</v>
      </c>
      <c r="D9" s="1" t="s">
        <v>9</v>
      </c>
      <c r="E9" s="1">
        <f t="shared" ca="1" si="0"/>
        <v>20</v>
      </c>
      <c r="F9" s="4">
        <v>47743</v>
      </c>
      <c r="G9" s="1" t="s">
        <v>14</v>
      </c>
      <c r="H9" s="2">
        <v>12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31"/>
    </row>
    <row r="10" spans="1:22">
      <c r="A10" s="30"/>
      <c r="B10" s="13"/>
      <c r="C10" s="1">
        <v>4</v>
      </c>
      <c r="D10" s="1" t="s">
        <v>10</v>
      </c>
      <c r="E10" s="1">
        <f t="shared" ca="1" si="0"/>
        <v>25</v>
      </c>
      <c r="F10" s="4">
        <v>30374</v>
      </c>
      <c r="G10" s="1" t="s">
        <v>15</v>
      </c>
      <c r="H10" s="2">
        <v>13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31"/>
    </row>
    <row r="11" spans="1:22">
      <c r="A11" s="30"/>
      <c r="B11" s="13"/>
      <c r="C11" s="1">
        <v>5</v>
      </c>
      <c r="D11" s="1" t="s">
        <v>11</v>
      </c>
      <c r="E11" s="1">
        <f t="shared" ca="1" si="0"/>
        <v>28</v>
      </c>
      <c r="F11" s="4">
        <v>49880</v>
      </c>
      <c r="G11" s="1" t="s">
        <v>12</v>
      </c>
      <c r="H11" s="2">
        <v>14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31"/>
    </row>
    <row r="12" spans="1:22">
      <c r="A12" s="30"/>
      <c r="B12" s="13"/>
      <c r="C12" s="1">
        <v>6</v>
      </c>
      <c r="D12" s="1" t="s">
        <v>7</v>
      </c>
      <c r="E12" s="1">
        <f t="shared" ca="1" si="0"/>
        <v>20</v>
      </c>
      <c r="F12" s="4">
        <v>30389</v>
      </c>
      <c r="G12" s="1" t="s">
        <v>13</v>
      </c>
      <c r="H12" s="2">
        <v>15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31"/>
    </row>
    <row r="13" spans="1:22">
      <c r="A13" s="30"/>
      <c r="B13" s="13"/>
      <c r="C13" s="1">
        <v>7</v>
      </c>
      <c r="D13" s="1" t="s">
        <v>8</v>
      </c>
      <c r="E13" s="1">
        <f t="shared" ca="1" si="0"/>
        <v>30</v>
      </c>
      <c r="F13" s="4">
        <v>48306</v>
      </c>
      <c r="G13" s="1" t="s">
        <v>14</v>
      </c>
      <c r="H13" s="2">
        <v>16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31"/>
    </row>
    <row r="14" spans="1:22">
      <c r="A14" s="30"/>
      <c r="B14" s="13"/>
      <c r="C14" s="1">
        <v>8</v>
      </c>
      <c r="D14" s="1" t="s">
        <v>9</v>
      </c>
      <c r="E14" s="1">
        <f t="shared" ca="1" si="0"/>
        <v>26</v>
      </c>
      <c r="F14" s="4">
        <v>20825</v>
      </c>
      <c r="G14" s="1" t="s">
        <v>15</v>
      </c>
      <c r="H14" s="2">
        <v>17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31"/>
    </row>
    <row r="15" spans="1:22">
      <c r="A15" s="30"/>
      <c r="B15" s="13"/>
      <c r="C15" s="1">
        <v>9</v>
      </c>
      <c r="D15" s="1" t="s">
        <v>10</v>
      </c>
      <c r="E15" s="1">
        <f t="shared" ca="1" si="0"/>
        <v>28</v>
      </c>
      <c r="F15" s="4">
        <v>34789</v>
      </c>
      <c r="G15" s="1" t="s">
        <v>12</v>
      </c>
      <c r="H15" s="2">
        <v>18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31"/>
    </row>
    <row r="16" spans="1:22">
      <c r="A16" s="30"/>
      <c r="B16" s="13"/>
      <c r="C16" s="1">
        <v>10</v>
      </c>
      <c r="D16" s="1" t="s">
        <v>11</v>
      </c>
      <c r="E16" s="1">
        <f t="shared" ca="1" si="0"/>
        <v>22</v>
      </c>
      <c r="F16" s="4">
        <v>24968</v>
      </c>
      <c r="G16" s="1" t="s">
        <v>13</v>
      </c>
      <c r="H16" s="2">
        <v>19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31"/>
    </row>
    <row r="17" spans="1:22">
      <c r="A17" s="30"/>
      <c r="B17" s="13"/>
      <c r="C17" s="1">
        <v>11</v>
      </c>
      <c r="D17" s="1" t="s">
        <v>7</v>
      </c>
      <c r="E17" s="1">
        <f t="shared" ca="1" si="0"/>
        <v>21</v>
      </c>
      <c r="F17" s="4">
        <v>33095</v>
      </c>
      <c r="G17" s="1" t="s">
        <v>14</v>
      </c>
      <c r="H17" s="2">
        <v>20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31"/>
    </row>
    <row r="18" spans="1:22">
      <c r="A18" s="30"/>
      <c r="B18" s="13"/>
      <c r="C18" s="1">
        <v>12</v>
      </c>
      <c r="D18" s="1" t="s">
        <v>8</v>
      </c>
      <c r="E18" s="1">
        <f t="shared" ca="1" si="0"/>
        <v>30</v>
      </c>
      <c r="F18" s="4">
        <v>20496</v>
      </c>
      <c r="G18" s="1" t="s">
        <v>15</v>
      </c>
      <c r="H18" s="2">
        <v>21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31"/>
    </row>
    <row r="19" spans="1:22">
      <c r="A19" s="30"/>
      <c r="B19" s="13"/>
      <c r="C19" s="1">
        <v>13</v>
      </c>
      <c r="D19" s="1" t="s">
        <v>9</v>
      </c>
      <c r="E19" s="1">
        <f t="shared" ca="1" si="0"/>
        <v>22</v>
      </c>
      <c r="F19" s="4">
        <v>32118</v>
      </c>
      <c r="G19" s="1" t="s">
        <v>12</v>
      </c>
      <c r="H19" s="2">
        <v>22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31"/>
    </row>
    <row r="20" spans="1:22">
      <c r="A20" s="30"/>
      <c r="B20" s="13"/>
      <c r="C20" s="1">
        <v>14</v>
      </c>
      <c r="D20" s="1" t="s">
        <v>10</v>
      </c>
      <c r="E20" s="1">
        <f t="shared" ca="1" si="0"/>
        <v>20</v>
      </c>
      <c r="F20" s="4">
        <v>46408</v>
      </c>
      <c r="G20" s="1" t="s">
        <v>13</v>
      </c>
      <c r="H20" s="2">
        <v>23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31"/>
    </row>
    <row r="21" spans="1:22">
      <c r="A21" s="30"/>
      <c r="B21" s="13"/>
      <c r="C21" s="1">
        <v>15</v>
      </c>
      <c r="D21" s="1" t="s">
        <v>11</v>
      </c>
      <c r="E21" s="1">
        <f t="shared" ca="1" si="0"/>
        <v>29</v>
      </c>
      <c r="F21" s="4">
        <v>39509</v>
      </c>
      <c r="G21" s="1" t="s">
        <v>14</v>
      </c>
      <c r="H21" s="2">
        <v>24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31"/>
    </row>
    <row r="22" spans="1:22">
      <c r="A22" s="30"/>
      <c r="B22" s="13"/>
      <c r="C22" s="1">
        <v>16</v>
      </c>
      <c r="D22" s="1" t="s">
        <v>7</v>
      </c>
      <c r="E22" s="1">
        <f t="shared" ca="1" si="0"/>
        <v>29</v>
      </c>
      <c r="F22" s="4">
        <v>22551</v>
      </c>
      <c r="G22" s="1" t="s">
        <v>15</v>
      </c>
      <c r="H22" s="2">
        <v>25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31"/>
    </row>
    <row r="23" spans="1:22">
      <c r="A23" s="30"/>
      <c r="B23" s="13"/>
      <c r="C23" s="1">
        <v>17</v>
      </c>
      <c r="D23" s="1" t="s">
        <v>8</v>
      </c>
      <c r="E23" s="1">
        <f t="shared" ca="1" si="0"/>
        <v>29</v>
      </c>
      <c r="F23" s="4">
        <v>37357</v>
      </c>
      <c r="G23" s="1" t="s">
        <v>12</v>
      </c>
      <c r="H23" s="2">
        <v>26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31"/>
    </row>
    <row r="24" spans="1:22">
      <c r="A24" s="30"/>
      <c r="B24" s="13"/>
      <c r="C24" s="1">
        <v>18</v>
      </c>
      <c r="D24" s="1" t="s">
        <v>9</v>
      </c>
      <c r="E24" s="1">
        <f t="shared" ca="1" si="0"/>
        <v>23</v>
      </c>
      <c r="F24" s="4">
        <v>20201</v>
      </c>
      <c r="G24" s="1" t="s">
        <v>13</v>
      </c>
      <c r="H24" s="2">
        <v>27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31"/>
    </row>
    <row r="25" spans="1:22">
      <c r="A25" s="30"/>
      <c r="B25" s="13"/>
      <c r="C25" s="1">
        <v>19</v>
      </c>
      <c r="D25" s="1" t="s">
        <v>10</v>
      </c>
      <c r="E25" s="1">
        <f t="shared" ca="1" si="0"/>
        <v>26</v>
      </c>
      <c r="F25" s="4">
        <v>21873</v>
      </c>
      <c r="G25" s="1" t="s">
        <v>14</v>
      </c>
      <c r="H25" s="2">
        <v>28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31"/>
    </row>
    <row r="26" spans="1:22">
      <c r="A26" s="30"/>
      <c r="B26" s="13"/>
      <c r="C26" s="1">
        <v>20</v>
      </c>
      <c r="D26" s="1" t="s">
        <v>11</v>
      </c>
      <c r="E26" s="1">
        <f t="shared" ca="1" si="0"/>
        <v>27</v>
      </c>
      <c r="F26" s="4">
        <v>35631</v>
      </c>
      <c r="G26" s="1" t="s">
        <v>15</v>
      </c>
      <c r="H26" s="2">
        <v>29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31"/>
    </row>
    <row r="27" spans="1:22">
      <c r="A27" s="30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31"/>
    </row>
    <row r="28" spans="1:22">
      <c r="A28" s="3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31"/>
    </row>
    <row r="29" spans="1:22">
      <c r="A29" s="30"/>
      <c r="B29" s="39" t="s">
        <v>16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1"/>
    </row>
    <row r="30" spans="1:22">
      <c r="A30" s="3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1"/>
    </row>
    <row r="31" spans="1:22">
      <c r="A31" s="3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1"/>
    </row>
    <row r="32" spans="1:22" ht="15" thickBot="1">
      <c r="A32" s="30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31"/>
    </row>
    <row r="33" spans="1:22" ht="16.2" thickBot="1">
      <c r="A33" s="30"/>
      <c r="B33" s="5" t="s">
        <v>1</v>
      </c>
      <c r="C33" s="6" t="s">
        <v>17</v>
      </c>
      <c r="D33" s="6" t="s">
        <v>18</v>
      </c>
      <c r="E33" s="6" t="s">
        <v>19</v>
      </c>
      <c r="F33" s="7" t="s">
        <v>20</v>
      </c>
      <c r="G33" s="13"/>
      <c r="H33" s="12"/>
      <c r="I33" s="38" t="s">
        <v>37</v>
      </c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1"/>
    </row>
    <row r="34" spans="1:22">
      <c r="A34" s="30"/>
      <c r="B34" s="8">
        <v>1</v>
      </c>
      <c r="C34" s="9" t="s">
        <v>21</v>
      </c>
      <c r="D34" s="8" t="s">
        <v>29</v>
      </c>
      <c r="E34" s="11">
        <f ca="1">RANDBETWEEN(55000,90000)</f>
        <v>78064</v>
      </c>
      <c r="F34" s="8" t="s">
        <v>32</v>
      </c>
      <c r="G34" s="13"/>
      <c r="H34" s="12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1"/>
    </row>
    <row r="35" spans="1:22">
      <c r="A35" s="30"/>
      <c r="B35" s="1">
        <v>2</v>
      </c>
      <c r="C35" s="10" t="s">
        <v>22</v>
      </c>
      <c r="D35" s="1" t="s">
        <v>36</v>
      </c>
      <c r="E35" s="4">
        <f t="shared" ref="E35:E53" ca="1" si="1">RANDBETWEEN(55000,90000)</f>
        <v>85807</v>
      </c>
      <c r="F35" s="1" t="s">
        <v>34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31"/>
    </row>
    <row r="36" spans="1:22">
      <c r="A36" s="30"/>
      <c r="B36" s="1">
        <v>3</v>
      </c>
      <c r="C36" s="10" t="s">
        <v>23</v>
      </c>
      <c r="D36" s="1" t="s">
        <v>30</v>
      </c>
      <c r="E36" s="4">
        <f t="shared" ca="1" si="1"/>
        <v>85897</v>
      </c>
      <c r="F36" s="1" t="s">
        <v>33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31"/>
    </row>
    <row r="37" spans="1:22">
      <c r="A37" s="30"/>
      <c r="B37" s="1">
        <v>4</v>
      </c>
      <c r="C37" s="10" t="s">
        <v>24</v>
      </c>
      <c r="D37" s="1" t="s">
        <v>31</v>
      </c>
      <c r="E37" s="4">
        <f t="shared" ca="1" si="1"/>
        <v>74566</v>
      </c>
      <c r="F37" s="1" t="s">
        <v>35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31"/>
    </row>
    <row r="38" spans="1:22">
      <c r="A38" s="30"/>
      <c r="B38" s="1">
        <v>5</v>
      </c>
      <c r="C38" s="10" t="s">
        <v>25</v>
      </c>
      <c r="D38" s="1" t="s">
        <v>29</v>
      </c>
      <c r="E38" s="4">
        <f t="shared" ca="1" si="1"/>
        <v>89937</v>
      </c>
      <c r="F38" s="1" t="s">
        <v>32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31"/>
    </row>
    <row r="39" spans="1:22">
      <c r="A39" s="30"/>
      <c r="B39" s="1">
        <v>6</v>
      </c>
      <c r="C39" s="10" t="s">
        <v>22</v>
      </c>
      <c r="D39" s="1" t="s">
        <v>36</v>
      </c>
      <c r="E39" s="4">
        <f t="shared" ca="1" si="1"/>
        <v>71013</v>
      </c>
      <c r="F39" s="1" t="s">
        <v>34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31"/>
    </row>
    <row r="40" spans="1:22">
      <c r="A40" s="30"/>
      <c r="B40" s="1">
        <v>7</v>
      </c>
      <c r="C40" s="10" t="s">
        <v>23</v>
      </c>
      <c r="D40" s="1" t="s">
        <v>30</v>
      </c>
      <c r="E40" s="4">
        <f t="shared" ca="1" si="1"/>
        <v>75838</v>
      </c>
      <c r="F40" s="1" t="s">
        <v>33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31"/>
    </row>
    <row r="41" spans="1:22">
      <c r="A41" s="30"/>
      <c r="B41" s="1">
        <v>8</v>
      </c>
      <c r="C41" s="10" t="s">
        <v>24</v>
      </c>
      <c r="D41" s="1" t="s">
        <v>31</v>
      </c>
      <c r="E41" s="4">
        <f t="shared" ca="1" si="1"/>
        <v>71254</v>
      </c>
      <c r="F41" s="1" t="s">
        <v>35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31"/>
    </row>
    <row r="42" spans="1:22">
      <c r="A42" s="30"/>
      <c r="B42" s="1">
        <v>9</v>
      </c>
      <c r="C42" s="10" t="s">
        <v>26</v>
      </c>
      <c r="D42" s="1" t="s">
        <v>29</v>
      </c>
      <c r="E42" s="4">
        <f t="shared" ca="1" si="1"/>
        <v>68590</v>
      </c>
      <c r="F42" s="1" t="s">
        <v>32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31"/>
    </row>
    <row r="43" spans="1:22">
      <c r="A43" s="30"/>
      <c r="B43" s="1">
        <v>10</v>
      </c>
      <c r="C43" s="10" t="s">
        <v>22</v>
      </c>
      <c r="D43" s="1" t="s">
        <v>36</v>
      </c>
      <c r="E43" s="4">
        <f t="shared" ca="1" si="1"/>
        <v>77832</v>
      </c>
      <c r="F43" s="1" t="s">
        <v>34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31"/>
    </row>
    <row r="44" spans="1:22">
      <c r="A44" s="30"/>
      <c r="B44" s="1">
        <v>11</v>
      </c>
      <c r="C44" s="10" t="s">
        <v>23</v>
      </c>
      <c r="D44" s="1" t="s">
        <v>30</v>
      </c>
      <c r="E44" s="4">
        <f t="shared" ca="1" si="1"/>
        <v>55821</v>
      </c>
      <c r="F44" s="1" t="s">
        <v>33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31"/>
    </row>
    <row r="45" spans="1:22">
      <c r="A45" s="30"/>
      <c r="B45" s="1">
        <v>12</v>
      </c>
      <c r="C45" s="10" t="s">
        <v>24</v>
      </c>
      <c r="D45" s="1" t="s">
        <v>31</v>
      </c>
      <c r="E45" s="4">
        <f t="shared" ca="1" si="1"/>
        <v>77379</v>
      </c>
      <c r="F45" s="1" t="s">
        <v>35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31"/>
    </row>
    <row r="46" spans="1:22">
      <c r="A46" s="30"/>
      <c r="B46" s="1">
        <v>13</v>
      </c>
      <c r="C46" s="10" t="s">
        <v>27</v>
      </c>
      <c r="D46" s="1" t="s">
        <v>29</v>
      </c>
      <c r="E46" s="4">
        <f t="shared" ca="1" si="1"/>
        <v>78882</v>
      </c>
      <c r="F46" s="1" t="s">
        <v>32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31"/>
    </row>
    <row r="47" spans="1:22">
      <c r="A47" s="30"/>
      <c r="B47" s="1">
        <v>14</v>
      </c>
      <c r="C47" s="10" t="s">
        <v>22</v>
      </c>
      <c r="D47" s="1" t="s">
        <v>36</v>
      </c>
      <c r="E47" s="4">
        <f t="shared" ca="1" si="1"/>
        <v>63255</v>
      </c>
      <c r="F47" s="1" t="s">
        <v>34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31"/>
    </row>
    <row r="48" spans="1:22">
      <c r="A48" s="30"/>
      <c r="B48" s="1">
        <v>15</v>
      </c>
      <c r="C48" s="10" t="s">
        <v>23</v>
      </c>
      <c r="D48" s="1" t="s">
        <v>30</v>
      </c>
      <c r="E48" s="4">
        <f t="shared" ca="1" si="1"/>
        <v>60748</v>
      </c>
      <c r="F48" s="1" t="s">
        <v>33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31"/>
    </row>
    <row r="49" spans="1:22">
      <c r="A49" s="30"/>
      <c r="B49" s="1">
        <v>16</v>
      </c>
      <c r="C49" s="10" t="s">
        <v>24</v>
      </c>
      <c r="D49" s="1" t="s">
        <v>31</v>
      </c>
      <c r="E49" s="4">
        <f t="shared" ca="1" si="1"/>
        <v>60095</v>
      </c>
      <c r="F49" s="1" t="s">
        <v>35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31"/>
    </row>
    <row r="50" spans="1:22">
      <c r="A50" s="30"/>
      <c r="B50" s="1">
        <v>17</v>
      </c>
      <c r="C50" s="10" t="s">
        <v>28</v>
      </c>
      <c r="D50" s="1" t="s">
        <v>29</v>
      </c>
      <c r="E50" s="4">
        <f t="shared" ca="1" si="1"/>
        <v>59107</v>
      </c>
      <c r="F50" s="1" t="s">
        <v>32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31"/>
    </row>
    <row r="51" spans="1:22">
      <c r="A51" s="30"/>
      <c r="B51" s="1">
        <v>18</v>
      </c>
      <c r="C51" s="10" t="s">
        <v>22</v>
      </c>
      <c r="D51" s="1" t="s">
        <v>36</v>
      </c>
      <c r="E51" s="4">
        <f t="shared" ca="1" si="1"/>
        <v>81418</v>
      </c>
      <c r="F51" s="1" t="s">
        <v>34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31"/>
    </row>
    <row r="52" spans="1:22">
      <c r="A52" s="30"/>
      <c r="B52" s="1">
        <v>19</v>
      </c>
      <c r="C52" s="10" t="s">
        <v>23</v>
      </c>
      <c r="D52" s="1" t="s">
        <v>30</v>
      </c>
      <c r="E52" s="4">
        <f t="shared" ca="1" si="1"/>
        <v>74359</v>
      </c>
      <c r="F52" s="1" t="s">
        <v>33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31"/>
    </row>
    <row r="53" spans="1:22">
      <c r="A53" s="30"/>
      <c r="B53" s="1">
        <v>20</v>
      </c>
      <c r="C53" s="10" t="s">
        <v>24</v>
      </c>
      <c r="D53" s="1" t="s">
        <v>31</v>
      </c>
      <c r="E53" s="4">
        <f t="shared" ca="1" si="1"/>
        <v>66911</v>
      </c>
      <c r="F53" s="1" t="s">
        <v>35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31"/>
    </row>
    <row r="54" spans="1:22">
      <c r="A54" s="30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31"/>
    </row>
    <row r="55" spans="1:22">
      <c r="A55" s="30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31"/>
    </row>
    <row r="56" spans="1:22">
      <c r="A56" s="30"/>
      <c r="B56" s="39" t="s">
        <v>38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1"/>
    </row>
    <row r="57" spans="1:22">
      <c r="A57" s="3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1"/>
    </row>
    <row r="58" spans="1:22">
      <c r="A58" s="3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1"/>
    </row>
    <row r="59" spans="1:22">
      <c r="A59" s="30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31"/>
    </row>
    <row r="60" spans="1:22" ht="18">
      <c r="A60" s="30"/>
      <c r="B60" s="14" t="s">
        <v>39</v>
      </c>
      <c r="C60" s="14" t="s">
        <v>40</v>
      </c>
      <c r="D60" s="14" t="s">
        <v>41</v>
      </c>
      <c r="E60" s="14" t="s">
        <v>42</v>
      </c>
      <c r="F60" s="14" t="s">
        <v>43</v>
      </c>
      <c r="G60" s="14" t="s">
        <v>44</v>
      </c>
      <c r="H60" s="14" t="s">
        <v>45</v>
      </c>
      <c r="I60" s="14" t="s">
        <v>94</v>
      </c>
      <c r="J60" s="26" t="s">
        <v>46</v>
      </c>
      <c r="K60" s="13"/>
      <c r="L60" s="38" t="s">
        <v>52</v>
      </c>
      <c r="M60" s="38"/>
      <c r="N60" s="38"/>
      <c r="O60" s="38"/>
      <c r="P60" s="38"/>
      <c r="Q60" s="38"/>
      <c r="R60" s="38"/>
      <c r="S60" s="38"/>
      <c r="T60" s="38"/>
      <c r="U60" s="38"/>
      <c r="V60" s="31"/>
    </row>
    <row r="61" spans="1:22">
      <c r="A61" s="30"/>
      <c r="B61" s="15">
        <v>1</v>
      </c>
      <c r="C61" s="15" t="s">
        <v>47</v>
      </c>
      <c r="D61" s="15">
        <f ca="1">RANDBETWEEN(10,100)</f>
        <v>18</v>
      </c>
      <c r="E61" s="15">
        <f ca="1">RANDBETWEEN(10,100)</f>
        <v>61</v>
      </c>
      <c r="F61" s="15">
        <f t="shared" ref="F61:H61" ca="1" si="2">RANDBETWEEN(10,100)</f>
        <v>41</v>
      </c>
      <c r="G61" s="15">
        <f t="shared" ca="1" si="2"/>
        <v>20</v>
      </c>
      <c r="H61" s="15">
        <f t="shared" ca="1" si="2"/>
        <v>86</v>
      </c>
      <c r="I61" s="35">
        <f t="shared" ref="I61:I81" ca="1" si="3">SUM(D61:H61)</f>
        <v>226</v>
      </c>
      <c r="J61" s="37">
        <f ca="1">I61/500</f>
        <v>0.45200000000000001</v>
      </c>
      <c r="K61" s="13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1"/>
    </row>
    <row r="62" spans="1:22">
      <c r="A62" s="30"/>
      <c r="B62" s="15">
        <v>2</v>
      </c>
      <c r="C62" s="15" t="s">
        <v>48</v>
      </c>
      <c r="D62" s="15">
        <f t="shared" ref="D62:H80" ca="1" si="4">RANDBETWEEN(10,100)</f>
        <v>37</v>
      </c>
      <c r="E62" s="15">
        <f t="shared" ca="1" si="4"/>
        <v>53</v>
      </c>
      <c r="F62" s="15">
        <f t="shared" ca="1" si="4"/>
        <v>53</v>
      </c>
      <c r="G62" s="15">
        <f t="shared" ca="1" si="4"/>
        <v>89</v>
      </c>
      <c r="H62" s="15">
        <f t="shared" ca="1" si="4"/>
        <v>67</v>
      </c>
      <c r="I62" s="35">
        <f t="shared" ca="1" si="3"/>
        <v>299</v>
      </c>
      <c r="J62" s="37">
        <f t="shared" ref="J62:J80" ca="1" si="5">I62/500</f>
        <v>0.59799999999999998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31"/>
    </row>
    <row r="63" spans="1:22">
      <c r="A63" s="30"/>
      <c r="B63" s="15">
        <v>3</v>
      </c>
      <c r="C63" s="15" t="s">
        <v>49</v>
      </c>
      <c r="D63" s="15">
        <f t="shared" ca="1" si="4"/>
        <v>33</v>
      </c>
      <c r="E63" s="15">
        <f t="shared" ca="1" si="4"/>
        <v>88</v>
      </c>
      <c r="F63" s="15">
        <f t="shared" ca="1" si="4"/>
        <v>14</v>
      </c>
      <c r="G63" s="15">
        <f t="shared" ca="1" si="4"/>
        <v>92</v>
      </c>
      <c r="H63" s="15">
        <f t="shared" ca="1" si="4"/>
        <v>16</v>
      </c>
      <c r="I63" s="35">
        <f t="shared" ca="1" si="3"/>
        <v>243</v>
      </c>
      <c r="J63" s="37">
        <f t="shared" ca="1" si="5"/>
        <v>0.48599999999999999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31"/>
    </row>
    <row r="64" spans="1:22">
      <c r="A64" s="30"/>
      <c r="B64" s="15">
        <v>4</v>
      </c>
      <c r="C64" s="15" t="s">
        <v>50</v>
      </c>
      <c r="D64" s="15">
        <f t="shared" ca="1" si="4"/>
        <v>10</v>
      </c>
      <c r="E64" s="15">
        <f t="shared" ca="1" si="4"/>
        <v>36</v>
      </c>
      <c r="F64" s="15">
        <f t="shared" ca="1" si="4"/>
        <v>58</v>
      </c>
      <c r="G64" s="15">
        <f t="shared" ca="1" si="4"/>
        <v>95</v>
      </c>
      <c r="H64" s="15">
        <f t="shared" ca="1" si="4"/>
        <v>99</v>
      </c>
      <c r="I64" s="35">
        <f t="shared" ca="1" si="3"/>
        <v>298</v>
      </c>
      <c r="J64" s="37">
        <f t="shared" ca="1" si="5"/>
        <v>0.59599999999999997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31"/>
    </row>
    <row r="65" spans="1:22">
      <c r="A65" s="30"/>
      <c r="B65" s="15">
        <v>5</v>
      </c>
      <c r="C65" s="15" t="s">
        <v>51</v>
      </c>
      <c r="D65" s="15">
        <f t="shared" ca="1" si="4"/>
        <v>29</v>
      </c>
      <c r="E65" s="15">
        <f t="shared" ca="1" si="4"/>
        <v>28</v>
      </c>
      <c r="F65" s="15">
        <f t="shared" ca="1" si="4"/>
        <v>55</v>
      </c>
      <c r="G65" s="15">
        <f t="shared" ca="1" si="4"/>
        <v>94</v>
      </c>
      <c r="H65" s="15">
        <f t="shared" ca="1" si="4"/>
        <v>60</v>
      </c>
      <c r="I65" s="35">
        <f t="shared" ca="1" si="3"/>
        <v>266</v>
      </c>
      <c r="J65" s="37">
        <f t="shared" ca="1" si="5"/>
        <v>0.53200000000000003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31"/>
    </row>
    <row r="66" spans="1:22">
      <c r="A66" s="30"/>
      <c r="B66" s="15">
        <v>6</v>
      </c>
      <c r="C66" s="15" t="s">
        <v>47</v>
      </c>
      <c r="D66" s="15">
        <f t="shared" ca="1" si="4"/>
        <v>90</v>
      </c>
      <c r="E66" s="15">
        <f t="shared" ca="1" si="4"/>
        <v>54</v>
      </c>
      <c r="F66" s="15">
        <f t="shared" ca="1" si="4"/>
        <v>49</v>
      </c>
      <c r="G66" s="15">
        <f t="shared" ca="1" si="4"/>
        <v>31</v>
      </c>
      <c r="H66" s="15">
        <f t="shared" ca="1" si="4"/>
        <v>53</v>
      </c>
      <c r="I66" s="35">
        <f t="shared" ca="1" si="3"/>
        <v>277</v>
      </c>
      <c r="J66" s="37">
        <f t="shared" ca="1" si="5"/>
        <v>0.55400000000000005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31"/>
    </row>
    <row r="67" spans="1:22">
      <c r="A67" s="30"/>
      <c r="B67" s="15">
        <v>7</v>
      </c>
      <c r="C67" s="15" t="s">
        <v>48</v>
      </c>
      <c r="D67" s="15">
        <f t="shared" ca="1" si="4"/>
        <v>55</v>
      </c>
      <c r="E67" s="15">
        <f t="shared" ca="1" si="4"/>
        <v>91</v>
      </c>
      <c r="F67" s="15">
        <f t="shared" ca="1" si="4"/>
        <v>11</v>
      </c>
      <c r="G67" s="15">
        <f t="shared" ca="1" si="4"/>
        <v>50</v>
      </c>
      <c r="H67" s="15">
        <f t="shared" ca="1" si="4"/>
        <v>94</v>
      </c>
      <c r="I67" s="35">
        <f t="shared" ca="1" si="3"/>
        <v>301</v>
      </c>
      <c r="J67" s="37">
        <f t="shared" ca="1" si="5"/>
        <v>0.60199999999999998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31"/>
    </row>
    <row r="68" spans="1:22">
      <c r="A68" s="30"/>
      <c r="B68" s="15">
        <v>8</v>
      </c>
      <c r="C68" s="15" t="s">
        <v>49</v>
      </c>
      <c r="D68" s="15">
        <f t="shared" ca="1" si="4"/>
        <v>100</v>
      </c>
      <c r="E68" s="15">
        <f t="shared" ca="1" si="4"/>
        <v>55</v>
      </c>
      <c r="F68" s="15">
        <f t="shared" ca="1" si="4"/>
        <v>39</v>
      </c>
      <c r="G68" s="15">
        <f t="shared" ca="1" si="4"/>
        <v>21</v>
      </c>
      <c r="H68" s="15">
        <f t="shared" ca="1" si="4"/>
        <v>21</v>
      </c>
      <c r="I68" s="35">
        <f t="shared" ca="1" si="3"/>
        <v>236</v>
      </c>
      <c r="J68" s="37">
        <f t="shared" ca="1" si="5"/>
        <v>0.47199999999999998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31"/>
    </row>
    <row r="69" spans="1:22">
      <c r="A69" s="30"/>
      <c r="B69" s="15">
        <v>9</v>
      </c>
      <c r="C69" s="15" t="s">
        <v>50</v>
      </c>
      <c r="D69" s="15">
        <f t="shared" ca="1" si="4"/>
        <v>99</v>
      </c>
      <c r="E69" s="15">
        <f t="shared" ca="1" si="4"/>
        <v>60</v>
      </c>
      <c r="F69" s="15">
        <f t="shared" ca="1" si="4"/>
        <v>75</v>
      </c>
      <c r="G69" s="15">
        <f t="shared" ca="1" si="4"/>
        <v>23</v>
      </c>
      <c r="H69" s="15">
        <f t="shared" ca="1" si="4"/>
        <v>39</v>
      </c>
      <c r="I69" s="35">
        <f t="shared" ca="1" si="3"/>
        <v>296</v>
      </c>
      <c r="J69" s="37">
        <f t="shared" ca="1" si="5"/>
        <v>0.59199999999999997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31"/>
    </row>
    <row r="70" spans="1:22">
      <c r="A70" s="30"/>
      <c r="B70" s="15">
        <v>10</v>
      </c>
      <c r="C70" s="15" t="s">
        <v>51</v>
      </c>
      <c r="D70" s="15">
        <f t="shared" ca="1" si="4"/>
        <v>39</v>
      </c>
      <c r="E70" s="15">
        <f t="shared" ca="1" si="4"/>
        <v>37</v>
      </c>
      <c r="F70" s="15">
        <f t="shared" ca="1" si="4"/>
        <v>90</v>
      </c>
      <c r="G70" s="15">
        <f t="shared" ca="1" si="4"/>
        <v>38</v>
      </c>
      <c r="H70" s="15">
        <f t="shared" ca="1" si="4"/>
        <v>87</v>
      </c>
      <c r="I70" s="35">
        <f t="shared" ca="1" si="3"/>
        <v>291</v>
      </c>
      <c r="J70" s="37">
        <f t="shared" ca="1" si="5"/>
        <v>0.58199999999999996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31"/>
    </row>
    <row r="71" spans="1:22">
      <c r="A71" s="30"/>
      <c r="B71" s="15">
        <v>11</v>
      </c>
      <c r="C71" s="15" t="s">
        <v>47</v>
      </c>
      <c r="D71" s="15">
        <f t="shared" ca="1" si="4"/>
        <v>19</v>
      </c>
      <c r="E71" s="15">
        <f t="shared" ca="1" si="4"/>
        <v>100</v>
      </c>
      <c r="F71" s="15">
        <f t="shared" ca="1" si="4"/>
        <v>47</v>
      </c>
      <c r="G71" s="15">
        <f t="shared" ca="1" si="4"/>
        <v>55</v>
      </c>
      <c r="H71" s="15">
        <f t="shared" ca="1" si="4"/>
        <v>28</v>
      </c>
      <c r="I71" s="35">
        <f t="shared" ca="1" si="3"/>
        <v>249</v>
      </c>
      <c r="J71" s="37">
        <f t="shared" ca="1" si="5"/>
        <v>0.498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31"/>
    </row>
    <row r="72" spans="1:22">
      <c r="A72" s="30"/>
      <c r="B72" s="15">
        <v>12</v>
      </c>
      <c r="C72" s="15" t="s">
        <v>48</v>
      </c>
      <c r="D72" s="15">
        <f t="shared" ca="1" si="4"/>
        <v>28</v>
      </c>
      <c r="E72" s="15">
        <f t="shared" ca="1" si="4"/>
        <v>33</v>
      </c>
      <c r="F72" s="15">
        <f t="shared" ca="1" si="4"/>
        <v>66</v>
      </c>
      <c r="G72" s="15">
        <f t="shared" ca="1" si="4"/>
        <v>81</v>
      </c>
      <c r="H72" s="15">
        <f t="shared" ca="1" si="4"/>
        <v>71</v>
      </c>
      <c r="I72" s="35">
        <f t="shared" ca="1" si="3"/>
        <v>279</v>
      </c>
      <c r="J72" s="37">
        <f t="shared" ca="1" si="5"/>
        <v>0.55800000000000005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31"/>
    </row>
    <row r="73" spans="1:22">
      <c r="A73" s="30"/>
      <c r="B73" s="15">
        <v>13</v>
      </c>
      <c r="C73" s="15" t="s">
        <v>49</v>
      </c>
      <c r="D73" s="15">
        <f t="shared" ca="1" si="4"/>
        <v>18</v>
      </c>
      <c r="E73" s="15">
        <f t="shared" ca="1" si="4"/>
        <v>22</v>
      </c>
      <c r="F73" s="15">
        <f t="shared" ca="1" si="4"/>
        <v>75</v>
      </c>
      <c r="G73" s="15">
        <f t="shared" ca="1" si="4"/>
        <v>46</v>
      </c>
      <c r="H73" s="15">
        <f t="shared" ca="1" si="4"/>
        <v>18</v>
      </c>
      <c r="I73" s="35">
        <f t="shared" ca="1" si="3"/>
        <v>179</v>
      </c>
      <c r="J73" s="37">
        <f t="shared" ca="1" si="5"/>
        <v>0.35799999999999998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31"/>
    </row>
    <row r="74" spans="1:22">
      <c r="A74" s="30"/>
      <c r="B74" s="15">
        <v>14</v>
      </c>
      <c r="C74" s="15" t="s">
        <v>50</v>
      </c>
      <c r="D74" s="15">
        <f t="shared" ca="1" si="4"/>
        <v>15</v>
      </c>
      <c r="E74" s="15">
        <f t="shared" ca="1" si="4"/>
        <v>32</v>
      </c>
      <c r="F74" s="15">
        <f t="shared" ca="1" si="4"/>
        <v>64</v>
      </c>
      <c r="G74" s="15">
        <f t="shared" ca="1" si="4"/>
        <v>32</v>
      </c>
      <c r="H74" s="15">
        <f t="shared" ca="1" si="4"/>
        <v>56</v>
      </c>
      <c r="I74" s="35">
        <f t="shared" ca="1" si="3"/>
        <v>199</v>
      </c>
      <c r="J74" s="37">
        <f t="shared" ca="1" si="5"/>
        <v>0.39800000000000002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31"/>
    </row>
    <row r="75" spans="1:22">
      <c r="A75" s="30"/>
      <c r="B75" s="15">
        <v>15</v>
      </c>
      <c r="C75" s="15" t="s">
        <v>51</v>
      </c>
      <c r="D75" s="15">
        <f t="shared" ca="1" si="4"/>
        <v>67</v>
      </c>
      <c r="E75" s="15">
        <f t="shared" ca="1" si="4"/>
        <v>76</v>
      </c>
      <c r="F75" s="15">
        <f t="shared" ca="1" si="4"/>
        <v>98</v>
      </c>
      <c r="G75" s="15">
        <f t="shared" ca="1" si="4"/>
        <v>55</v>
      </c>
      <c r="H75" s="15">
        <f t="shared" ca="1" si="4"/>
        <v>91</v>
      </c>
      <c r="I75" s="35">
        <f t="shared" ca="1" si="3"/>
        <v>387</v>
      </c>
      <c r="J75" s="37">
        <f t="shared" ca="1" si="5"/>
        <v>0.77400000000000002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31"/>
    </row>
    <row r="76" spans="1:22">
      <c r="A76" s="30"/>
      <c r="B76" s="15">
        <v>16</v>
      </c>
      <c r="C76" s="15" t="s">
        <v>47</v>
      </c>
      <c r="D76" s="15">
        <f t="shared" ca="1" si="4"/>
        <v>70</v>
      </c>
      <c r="E76" s="15">
        <f t="shared" ca="1" si="4"/>
        <v>49</v>
      </c>
      <c r="F76" s="15">
        <f t="shared" ca="1" si="4"/>
        <v>89</v>
      </c>
      <c r="G76" s="15">
        <f t="shared" ca="1" si="4"/>
        <v>21</v>
      </c>
      <c r="H76" s="15">
        <f t="shared" ca="1" si="4"/>
        <v>99</v>
      </c>
      <c r="I76" s="35">
        <f t="shared" ca="1" si="3"/>
        <v>328</v>
      </c>
      <c r="J76" s="37">
        <f t="shared" ca="1" si="5"/>
        <v>0.65600000000000003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31"/>
    </row>
    <row r="77" spans="1:22">
      <c r="A77" s="30"/>
      <c r="B77" s="15">
        <v>17</v>
      </c>
      <c r="C77" s="15" t="s">
        <v>48</v>
      </c>
      <c r="D77" s="15">
        <f t="shared" ca="1" si="4"/>
        <v>25</v>
      </c>
      <c r="E77" s="15">
        <f t="shared" ca="1" si="4"/>
        <v>80</v>
      </c>
      <c r="F77" s="15">
        <f t="shared" ca="1" si="4"/>
        <v>35</v>
      </c>
      <c r="G77" s="15">
        <f t="shared" ca="1" si="4"/>
        <v>87</v>
      </c>
      <c r="H77" s="15">
        <f t="shared" ca="1" si="4"/>
        <v>60</v>
      </c>
      <c r="I77" s="35">
        <f t="shared" ca="1" si="3"/>
        <v>287</v>
      </c>
      <c r="J77" s="37">
        <f t="shared" ca="1" si="5"/>
        <v>0.57399999999999995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31"/>
    </row>
    <row r="78" spans="1:22">
      <c r="A78" s="30"/>
      <c r="B78" s="15">
        <v>18</v>
      </c>
      <c r="C78" s="15" t="s">
        <v>49</v>
      </c>
      <c r="D78" s="15">
        <f t="shared" ca="1" si="4"/>
        <v>72</v>
      </c>
      <c r="E78" s="15">
        <f t="shared" ca="1" si="4"/>
        <v>60</v>
      </c>
      <c r="F78" s="15">
        <f t="shared" ca="1" si="4"/>
        <v>44</v>
      </c>
      <c r="G78" s="15">
        <f t="shared" ca="1" si="4"/>
        <v>95</v>
      </c>
      <c r="H78" s="15">
        <f t="shared" ca="1" si="4"/>
        <v>52</v>
      </c>
      <c r="I78" s="35">
        <f t="shared" ca="1" si="3"/>
        <v>323</v>
      </c>
      <c r="J78" s="37">
        <f t="shared" ca="1" si="5"/>
        <v>0.64600000000000002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31"/>
    </row>
    <row r="79" spans="1:22">
      <c r="A79" s="30"/>
      <c r="B79" s="15">
        <v>19</v>
      </c>
      <c r="C79" s="15" t="s">
        <v>50</v>
      </c>
      <c r="D79" s="15">
        <f t="shared" ca="1" si="4"/>
        <v>32</v>
      </c>
      <c r="E79" s="15">
        <f t="shared" ca="1" si="4"/>
        <v>40</v>
      </c>
      <c r="F79" s="15">
        <f t="shared" ca="1" si="4"/>
        <v>90</v>
      </c>
      <c r="G79" s="15">
        <f t="shared" ca="1" si="4"/>
        <v>81</v>
      </c>
      <c r="H79" s="15">
        <f t="shared" ca="1" si="4"/>
        <v>41</v>
      </c>
      <c r="I79" s="35">
        <f t="shared" ca="1" si="3"/>
        <v>284</v>
      </c>
      <c r="J79" s="37">
        <f t="shared" ca="1" si="5"/>
        <v>0.56799999999999995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31"/>
    </row>
    <row r="80" spans="1:22">
      <c r="A80" s="30"/>
      <c r="B80" s="15">
        <v>20</v>
      </c>
      <c r="C80" s="15" t="s">
        <v>51</v>
      </c>
      <c r="D80" s="15">
        <f t="shared" ca="1" si="4"/>
        <v>44</v>
      </c>
      <c r="E80" s="15">
        <f t="shared" ca="1" si="4"/>
        <v>51</v>
      </c>
      <c r="F80" s="15">
        <f t="shared" ca="1" si="4"/>
        <v>70</v>
      </c>
      <c r="G80" s="15">
        <f t="shared" ca="1" si="4"/>
        <v>57</v>
      </c>
      <c r="H80" s="15">
        <f t="shared" ca="1" si="4"/>
        <v>48</v>
      </c>
      <c r="I80" s="35">
        <f t="shared" ca="1" si="3"/>
        <v>270</v>
      </c>
      <c r="J80" s="37">
        <f t="shared" ca="1" si="5"/>
        <v>0.54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31"/>
    </row>
    <row r="81" spans="1:22">
      <c r="A81" s="30"/>
      <c r="B81" s="15"/>
      <c r="C81" s="15"/>
      <c r="D81" s="15">
        <f ca="1">SUM(D61:D80)</f>
        <v>900</v>
      </c>
      <c r="E81" s="15">
        <f ca="1">SUM(E61:E80)</f>
        <v>1106</v>
      </c>
      <c r="F81" s="15">
        <f ca="1">SUM(F61:F80)</f>
        <v>1163</v>
      </c>
      <c r="G81" s="15">
        <f ca="1">SUM(G61:G80)</f>
        <v>1163</v>
      </c>
      <c r="H81" s="15">
        <f ca="1">SUM(H61:H80)</f>
        <v>1186</v>
      </c>
      <c r="I81" s="35">
        <f t="shared" ca="1" si="3"/>
        <v>5518</v>
      </c>
      <c r="J81" s="35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31"/>
    </row>
    <row r="82" spans="1:22">
      <c r="A82" s="30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31"/>
    </row>
    <row r="83" spans="1:22">
      <c r="A83" s="30"/>
      <c r="B83" s="39" t="s">
        <v>54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1"/>
    </row>
    <row r="84" spans="1:22">
      <c r="A84" s="3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1"/>
    </row>
    <row r="85" spans="1:22">
      <c r="A85" s="3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1"/>
    </row>
    <row r="86" spans="1:22">
      <c r="A86" s="30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31"/>
    </row>
    <row r="87" spans="1:22" ht="17.399999999999999">
      <c r="A87" s="30"/>
      <c r="B87" s="14" t="s">
        <v>60</v>
      </c>
      <c r="C87" s="14" t="s">
        <v>6</v>
      </c>
      <c r="D87" s="14" t="s">
        <v>19</v>
      </c>
      <c r="E87" s="14" t="s">
        <v>55</v>
      </c>
      <c r="F87" s="13"/>
      <c r="G87" s="13"/>
      <c r="H87" s="38" t="s">
        <v>64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1"/>
    </row>
    <row r="88" spans="1:22">
      <c r="A88" s="30"/>
      <c r="B88" s="15">
        <v>101</v>
      </c>
      <c r="C88" s="16">
        <v>1</v>
      </c>
      <c r="D88" s="15">
        <v>50000</v>
      </c>
      <c r="E88" s="10" t="s">
        <v>58</v>
      </c>
      <c r="F88" s="13"/>
      <c r="G88" s="13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1"/>
    </row>
    <row r="89" spans="1:22">
      <c r="A89" s="30"/>
      <c r="B89" s="15">
        <v>102</v>
      </c>
      <c r="C89" s="16">
        <v>2</v>
      </c>
      <c r="D89" s="15">
        <v>40000</v>
      </c>
      <c r="E89" s="10" t="s">
        <v>22</v>
      </c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31"/>
    </row>
    <row r="90" spans="1:22">
      <c r="A90" s="30"/>
      <c r="B90" s="15">
        <v>103</v>
      </c>
      <c r="C90" s="16">
        <v>3</v>
      </c>
      <c r="D90" s="15">
        <v>30000</v>
      </c>
      <c r="E90" s="1" t="s">
        <v>56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31"/>
    </row>
    <row r="91" spans="1:22">
      <c r="A91" s="30"/>
      <c r="B91" s="15">
        <v>104</v>
      </c>
      <c r="C91" s="16">
        <v>4</v>
      </c>
      <c r="D91" s="15">
        <v>20000</v>
      </c>
      <c r="E91" s="1" t="s">
        <v>57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31"/>
    </row>
    <row r="92" spans="1:22">
      <c r="A92" s="30"/>
      <c r="B92" s="15">
        <v>105</v>
      </c>
      <c r="C92" s="16">
        <v>5</v>
      </c>
      <c r="D92" s="15">
        <v>10000</v>
      </c>
      <c r="E92" s="10" t="s">
        <v>58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31"/>
    </row>
    <row r="93" spans="1:22">
      <c r="A93" s="30"/>
      <c r="B93" s="15">
        <v>106</v>
      </c>
      <c r="C93" s="16">
        <v>6</v>
      </c>
      <c r="D93" s="15">
        <v>20000</v>
      </c>
      <c r="E93" s="10" t="s">
        <v>22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31"/>
    </row>
    <row r="94" spans="1:22">
      <c r="A94" s="30"/>
      <c r="B94" s="15">
        <v>107</v>
      </c>
      <c r="C94" s="16">
        <v>7</v>
      </c>
      <c r="D94" s="15">
        <v>30000</v>
      </c>
      <c r="E94" s="1" t="s">
        <v>56</v>
      </c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31"/>
    </row>
    <row r="95" spans="1:22">
      <c r="A95" s="30"/>
      <c r="B95" s="15">
        <v>108</v>
      </c>
      <c r="C95" s="16">
        <v>8</v>
      </c>
      <c r="D95" s="15">
        <v>15000</v>
      </c>
      <c r="E95" s="1" t="s">
        <v>57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31"/>
    </row>
    <row r="96" spans="1:22">
      <c r="A96" s="30"/>
      <c r="B96" s="15">
        <v>109</v>
      </c>
      <c r="C96" s="16">
        <v>9</v>
      </c>
      <c r="D96" s="15">
        <v>7500</v>
      </c>
      <c r="E96" s="10" t="s">
        <v>58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31"/>
    </row>
    <row r="97" spans="1:22">
      <c r="A97" s="30"/>
      <c r="B97" s="15">
        <v>110</v>
      </c>
      <c r="C97" s="16">
        <v>10</v>
      </c>
      <c r="D97" s="15">
        <v>8000</v>
      </c>
      <c r="E97" s="10" t="s">
        <v>22</v>
      </c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31"/>
    </row>
    <row r="98" spans="1:22">
      <c r="A98" s="30"/>
      <c r="B98" s="15">
        <v>111</v>
      </c>
      <c r="C98" s="16">
        <v>11</v>
      </c>
      <c r="D98" s="15">
        <v>16000</v>
      </c>
      <c r="E98" s="1" t="s">
        <v>56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31"/>
    </row>
    <row r="99" spans="1:22">
      <c r="A99" s="30"/>
      <c r="B99" s="15">
        <v>112</v>
      </c>
      <c r="C99" s="16">
        <v>12</v>
      </c>
      <c r="D99" s="15">
        <v>240000</v>
      </c>
      <c r="E99" s="1" t="s">
        <v>57</v>
      </c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31"/>
    </row>
    <row r="100" spans="1:22">
      <c r="A100" s="30"/>
      <c r="B100" s="15">
        <v>113</v>
      </c>
      <c r="C100" s="16">
        <v>13</v>
      </c>
      <c r="D100" s="15">
        <v>20000</v>
      </c>
      <c r="E100" s="10" t="s">
        <v>58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31"/>
    </row>
    <row r="101" spans="1:22">
      <c r="A101" s="30"/>
      <c r="B101" s="15">
        <v>114</v>
      </c>
      <c r="C101" s="16">
        <v>14</v>
      </c>
      <c r="D101" s="15">
        <v>35000</v>
      </c>
      <c r="E101" s="10" t="s">
        <v>22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31"/>
    </row>
    <row r="102" spans="1:22">
      <c r="A102" s="30"/>
      <c r="B102" s="15">
        <v>115</v>
      </c>
      <c r="C102" s="16">
        <v>15</v>
      </c>
      <c r="D102" s="15">
        <v>45000</v>
      </c>
      <c r="E102" s="1" t="s">
        <v>56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31"/>
    </row>
    <row r="103" spans="1:22">
      <c r="A103" s="30"/>
      <c r="B103" s="15">
        <v>116</v>
      </c>
      <c r="C103" s="16">
        <v>16</v>
      </c>
      <c r="D103" s="15">
        <v>9000</v>
      </c>
      <c r="E103" s="1" t="s">
        <v>57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31"/>
    </row>
    <row r="104" spans="1:22">
      <c r="A104" s="30"/>
      <c r="B104" s="15">
        <v>117</v>
      </c>
      <c r="C104" s="16">
        <v>17</v>
      </c>
      <c r="D104" s="15">
        <v>33000</v>
      </c>
      <c r="E104" s="10" t="s">
        <v>58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31"/>
    </row>
    <row r="105" spans="1:22">
      <c r="A105" s="30"/>
      <c r="B105" s="15">
        <v>118</v>
      </c>
      <c r="C105" s="16">
        <v>18</v>
      </c>
      <c r="D105" s="15">
        <v>49000</v>
      </c>
      <c r="E105" s="10" t="s">
        <v>22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31"/>
    </row>
    <row r="106" spans="1:22">
      <c r="A106" s="30"/>
      <c r="B106" s="15">
        <v>119</v>
      </c>
      <c r="C106" s="16">
        <v>19</v>
      </c>
      <c r="D106" s="15">
        <v>4999</v>
      </c>
      <c r="E106" s="1" t="s">
        <v>56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31"/>
    </row>
    <row r="107" spans="1:22">
      <c r="A107" s="30"/>
      <c r="B107" s="15">
        <v>120</v>
      </c>
      <c r="C107" s="16">
        <v>20</v>
      </c>
      <c r="D107" s="15">
        <v>39000</v>
      </c>
      <c r="E107" s="1" t="s">
        <v>57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31"/>
    </row>
    <row r="108" spans="1:22">
      <c r="A108" s="30"/>
      <c r="B108" s="15"/>
      <c r="C108" s="15"/>
      <c r="D108" s="15"/>
      <c r="E108" s="15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31"/>
    </row>
    <row r="109" spans="1:22">
      <c r="A109" s="30"/>
      <c r="B109" s="18" t="s">
        <v>59</v>
      </c>
      <c r="C109" s="17"/>
      <c r="D109" s="18">
        <f>SUM(D88:D108)</f>
        <v>721499</v>
      </c>
      <c r="E109" s="1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31"/>
    </row>
    <row r="110" spans="1:22">
      <c r="A110" s="30"/>
      <c r="B110" s="17"/>
      <c r="C110" s="17"/>
      <c r="D110" s="17"/>
      <c r="E110" s="1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31"/>
    </row>
    <row r="111" spans="1:22">
      <c r="A111" s="30"/>
      <c r="B111" s="18" t="s">
        <v>61</v>
      </c>
      <c r="C111" s="17"/>
      <c r="D111" s="18">
        <v>36074.949999999997</v>
      </c>
      <c r="E111" s="1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31"/>
    </row>
    <row r="112" spans="1:22">
      <c r="A112" s="30"/>
      <c r="B112" s="17"/>
      <c r="C112" s="17"/>
      <c r="D112" s="17"/>
      <c r="E112" s="1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31"/>
    </row>
    <row r="113" spans="1:22">
      <c r="A113" s="30"/>
      <c r="B113" s="18" t="s">
        <v>62</v>
      </c>
      <c r="C113" s="17"/>
      <c r="D113" s="18">
        <f>MAX(D88:D107)</f>
        <v>240000</v>
      </c>
      <c r="E113" s="1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31"/>
    </row>
    <row r="114" spans="1:22">
      <c r="A114" s="30"/>
      <c r="B114" s="18" t="s">
        <v>63</v>
      </c>
      <c r="C114" s="17"/>
      <c r="D114" s="18">
        <f>MIN(D88:D107)</f>
        <v>4999</v>
      </c>
      <c r="E114" s="1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31"/>
    </row>
    <row r="115" spans="1:22">
      <c r="A115" s="30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31"/>
    </row>
    <row r="116" spans="1:22">
      <c r="A116" s="30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31"/>
    </row>
    <row r="117" spans="1:22">
      <c r="A117" s="30"/>
      <c r="B117" s="39" t="s">
        <v>65</v>
      </c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1"/>
    </row>
    <row r="118" spans="1:22">
      <c r="A118" s="3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1"/>
    </row>
    <row r="119" spans="1:22">
      <c r="A119" s="3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1"/>
    </row>
    <row r="120" spans="1:22">
      <c r="A120" s="30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31"/>
    </row>
    <row r="121" spans="1:22" ht="17.399999999999999">
      <c r="A121" s="30"/>
      <c r="B121" s="14" t="s">
        <v>1</v>
      </c>
      <c r="C121" s="14" t="s">
        <v>1</v>
      </c>
      <c r="D121" s="14" t="s">
        <v>1</v>
      </c>
      <c r="E121" s="14" t="s">
        <v>1</v>
      </c>
      <c r="F121" s="13"/>
      <c r="G121" s="13"/>
      <c r="H121" s="38" t="s">
        <v>79</v>
      </c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1"/>
    </row>
    <row r="122" spans="1:22">
      <c r="A122" s="30"/>
      <c r="B122" s="15">
        <v>1</v>
      </c>
      <c r="C122" s="15" t="s">
        <v>66</v>
      </c>
      <c r="D122" s="15" t="s">
        <v>14</v>
      </c>
      <c r="E122" s="15">
        <f ca="1">RANDBETWEEN(10000,20000)</f>
        <v>11958</v>
      </c>
      <c r="F122" s="13"/>
      <c r="G122" s="13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1"/>
    </row>
    <row r="123" spans="1:22">
      <c r="A123" s="30"/>
      <c r="B123" s="15">
        <v>2</v>
      </c>
      <c r="C123" s="15" t="s">
        <v>67</v>
      </c>
      <c r="D123" s="15" t="s">
        <v>12</v>
      </c>
      <c r="E123" s="15">
        <f t="shared" ref="E123:E141" ca="1" si="6">RANDBETWEEN(10000,20000)</f>
        <v>15530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31"/>
    </row>
    <row r="124" spans="1:22">
      <c r="A124" s="30"/>
      <c r="B124" s="15">
        <v>3</v>
      </c>
      <c r="C124" s="15" t="s">
        <v>68</v>
      </c>
      <c r="D124" s="15" t="s">
        <v>71</v>
      </c>
      <c r="E124" s="15">
        <f t="shared" ca="1" si="6"/>
        <v>10401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31"/>
    </row>
    <row r="125" spans="1:22">
      <c r="A125" s="30"/>
      <c r="B125" s="15">
        <v>4</v>
      </c>
      <c r="C125" s="15" t="s">
        <v>69</v>
      </c>
      <c r="D125" s="15" t="s">
        <v>72</v>
      </c>
      <c r="E125" s="15">
        <f t="shared" ca="1" si="6"/>
        <v>12772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31"/>
    </row>
    <row r="126" spans="1:22">
      <c r="A126" s="30"/>
      <c r="B126" s="15">
        <v>5</v>
      </c>
      <c r="C126" s="15" t="s">
        <v>70</v>
      </c>
      <c r="D126" s="15" t="s">
        <v>14</v>
      </c>
      <c r="E126" s="15">
        <f t="shared" ca="1" si="6"/>
        <v>10547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31"/>
    </row>
    <row r="127" spans="1:22">
      <c r="A127" s="30"/>
      <c r="B127" s="15">
        <v>6</v>
      </c>
      <c r="C127" s="15" t="s">
        <v>66</v>
      </c>
      <c r="D127" s="15" t="s">
        <v>12</v>
      </c>
      <c r="E127" s="15">
        <f t="shared" ca="1" si="6"/>
        <v>15444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31"/>
    </row>
    <row r="128" spans="1:22">
      <c r="A128" s="30"/>
      <c r="B128" s="15">
        <v>7</v>
      </c>
      <c r="C128" s="15" t="s">
        <v>67</v>
      </c>
      <c r="D128" s="15" t="s">
        <v>71</v>
      </c>
      <c r="E128" s="15">
        <f t="shared" ca="1" si="6"/>
        <v>17536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31"/>
    </row>
    <row r="129" spans="1:22">
      <c r="A129" s="30"/>
      <c r="B129" s="15">
        <v>8</v>
      </c>
      <c r="C129" s="15" t="s">
        <v>68</v>
      </c>
      <c r="D129" s="15" t="s">
        <v>72</v>
      </c>
      <c r="E129" s="15">
        <f t="shared" ca="1" si="6"/>
        <v>11971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31"/>
    </row>
    <row r="130" spans="1:22">
      <c r="A130" s="30"/>
      <c r="B130" s="15">
        <v>9</v>
      </c>
      <c r="C130" s="15" t="s">
        <v>69</v>
      </c>
      <c r="D130" s="15" t="s">
        <v>14</v>
      </c>
      <c r="E130" s="15">
        <f t="shared" ca="1" si="6"/>
        <v>16451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31"/>
    </row>
    <row r="131" spans="1:22">
      <c r="A131" s="30"/>
      <c r="B131" s="15">
        <v>10</v>
      </c>
      <c r="C131" s="15" t="s">
        <v>70</v>
      </c>
      <c r="D131" s="15" t="s">
        <v>12</v>
      </c>
      <c r="E131" s="15">
        <f t="shared" ca="1" si="6"/>
        <v>15399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31"/>
    </row>
    <row r="132" spans="1:22">
      <c r="A132" s="30"/>
      <c r="B132" s="15">
        <v>11</v>
      </c>
      <c r="C132" s="15" t="s">
        <v>66</v>
      </c>
      <c r="D132" s="15" t="s">
        <v>71</v>
      </c>
      <c r="E132" s="15">
        <f t="shared" ca="1" si="6"/>
        <v>14091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31"/>
    </row>
    <row r="133" spans="1:22">
      <c r="A133" s="30"/>
      <c r="B133" s="15">
        <v>12</v>
      </c>
      <c r="C133" s="15" t="s">
        <v>67</v>
      </c>
      <c r="D133" s="15" t="s">
        <v>72</v>
      </c>
      <c r="E133" s="15">
        <f t="shared" ca="1" si="6"/>
        <v>19005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31"/>
    </row>
    <row r="134" spans="1:22">
      <c r="A134" s="30"/>
      <c r="B134" s="15">
        <v>13</v>
      </c>
      <c r="C134" s="15" t="s">
        <v>68</v>
      </c>
      <c r="D134" s="15" t="s">
        <v>14</v>
      </c>
      <c r="E134" s="15">
        <f t="shared" ca="1" si="6"/>
        <v>15340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31"/>
    </row>
    <row r="135" spans="1:22">
      <c r="A135" s="30"/>
      <c r="B135" s="15">
        <v>14</v>
      </c>
      <c r="C135" s="15" t="s">
        <v>69</v>
      </c>
      <c r="D135" s="15" t="s">
        <v>12</v>
      </c>
      <c r="E135" s="15">
        <f t="shared" ca="1" si="6"/>
        <v>16684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31"/>
    </row>
    <row r="136" spans="1:22">
      <c r="A136" s="30"/>
      <c r="B136" s="15">
        <v>15</v>
      </c>
      <c r="C136" s="15" t="s">
        <v>70</v>
      </c>
      <c r="D136" s="15" t="s">
        <v>71</v>
      </c>
      <c r="E136" s="15">
        <f t="shared" ca="1" si="6"/>
        <v>10290</v>
      </c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31"/>
    </row>
    <row r="137" spans="1:22">
      <c r="A137" s="30"/>
      <c r="B137" s="15">
        <v>16</v>
      </c>
      <c r="C137" s="15" t="s">
        <v>66</v>
      </c>
      <c r="D137" s="15" t="s">
        <v>72</v>
      </c>
      <c r="E137" s="15">
        <f t="shared" ca="1" si="6"/>
        <v>15818</v>
      </c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31"/>
    </row>
    <row r="138" spans="1:22">
      <c r="A138" s="30"/>
      <c r="B138" s="15">
        <v>17</v>
      </c>
      <c r="C138" s="15" t="s">
        <v>67</v>
      </c>
      <c r="D138" s="15" t="s">
        <v>14</v>
      </c>
      <c r="E138" s="15">
        <f t="shared" ca="1" si="6"/>
        <v>17111</v>
      </c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31"/>
    </row>
    <row r="139" spans="1:22">
      <c r="A139" s="30"/>
      <c r="B139" s="15">
        <v>18</v>
      </c>
      <c r="C139" s="15" t="s">
        <v>68</v>
      </c>
      <c r="D139" s="15" t="s">
        <v>12</v>
      </c>
      <c r="E139" s="15">
        <f t="shared" ca="1" si="6"/>
        <v>18745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31"/>
    </row>
    <row r="140" spans="1:22">
      <c r="A140" s="30"/>
      <c r="B140" s="15">
        <v>19</v>
      </c>
      <c r="C140" s="15" t="s">
        <v>69</v>
      </c>
      <c r="D140" s="15" t="s">
        <v>71</v>
      </c>
      <c r="E140" s="15">
        <f t="shared" ca="1" si="6"/>
        <v>14642</v>
      </c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31"/>
    </row>
    <row r="141" spans="1:22">
      <c r="A141" s="30"/>
      <c r="B141" s="15">
        <v>20</v>
      </c>
      <c r="C141" s="15" t="s">
        <v>70</v>
      </c>
      <c r="D141" s="15" t="s">
        <v>72</v>
      </c>
      <c r="E141" s="15">
        <f t="shared" ca="1" si="6"/>
        <v>15758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31"/>
    </row>
    <row r="142" spans="1:22">
      <c r="A142" s="30"/>
      <c r="B142" s="15"/>
      <c r="C142" s="15"/>
      <c r="D142" s="15"/>
      <c r="E142" s="1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31"/>
    </row>
    <row r="143" spans="1:22" ht="15.6">
      <c r="A143" s="30"/>
      <c r="B143" s="19" t="s">
        <v>77</v>
      </c>
      <c r="C143" s="19"/>
      <c r="D143" s="19"/>
      <c r="E143" s="19">
        <f ca="1">AVERAGE(E122:E141)</f>
        <v>14774.65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31"/>
    </row>
    <row r="144" spans="1:22">
      <c r="A144" s="30"/>
      <c r="B144" s="15"/>
      <c r="C144" s="15"/>
      <c r="D144" s="15"/>
      <c r="E144" s="15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31"/>
    </row>
    <row r="145" spans="1:22" ht="15.6">
      <c r="A145" s="30"/>
      <c r="B145" s="19" t="s">
        <v>78</v>
      </c>
      <c r="C145" s="19">
        <f>COUNTA(C122:C141)</f>
        <v>20</v>
      </c>
      <c r="D145" s="19"/>
      <c r="E145" s="19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31"/>
    </row>
    <row r="146" spans="1:22">
      <c r="A146" s="30"/>
      <c r="B146" s="15"/>
      <c r="C146" s="15"/>
      <c r="D146" s="15"/>
      <c r="E146" s="15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31"/>
    </row>
    <row r="147" spans="1:22" ht="15.6">
      <c r="A147" s="30"/>
      <c r="B147" s="19" t="s">
        <v>73</v>
      </c>
      <c r="C147" s="19"/>
      <c r="D147" s="19"/>
      <c r="E147" s="19">
        <f ca="1">SUM(E122,E126,E130,E134,E138)</f>
        <v>71407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31"/>
    </row>
    <row r="148" spans="1:22" ht="15.6">
      <c r="A148" s="30"/>
      <c r="B148" s="19" t="s">
        <v>74</v>
      </c>
      <c r="C148" s="19"/>
      <c r="D148" s="19"/>
      <c r="E148" s="19">
        <f ca="1">SUM(E123,E127,E131,E135,E139)</f>
        <v>81802</v>
      </c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31"/>
    </row>
    <row r="149" spans="1:22" ht="15.6">
      <c r="A149" s="30"/>
      <c r="B149" s="19" t="s">
        <v>75</v>
      </c>
      <c r="C149" s="19"/>
      <c r="D149" s="19"/>
      <c r="E149" s="19">
        <f ca="1">SUM(E124,E128,E132,E136,E140)</f>
        <v>66960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31"/>
    </row>
    <row r="150" spans="1:22" ht="15.6">
      <c r="A150" s="30"/>
      <c r="B150" s="19" t="s">
        <v>76</v>
      </c>
      <c r="C150" s="19"/>
      <c r="D150" s="19"/>
      <c r="E150" s="19">
        <f ca="1">SUM(E125,E129,E133,E137,E141)</f>
        <v>75324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31"/>
    </row>
    <row r="151" spans="1:22" ht="15" thickBot="1">
      <c r="A151" s="32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4"/>
    </row>
  </sheetData>
  <mergeCells count="12">
    <mergeCell ref="B56:V58"/>
    <mergeCell ref="L60:U61"/>
    <mergeCell ref="B83:V85"/>
    <mergeCell ref="B2:V4"/>
    <mergeCell ref="B29:V31"/>
    <mergeCell ref="K6:U6"/>
    <mergeCell ref="I33:U34"/>
    <mergeCell ref="H87:T88"/>
    <mergeCell ref="U87:U88"/>
    <mergeCell ref="B117:V119"/>
    <mergeCell ref="H121:T122"/>
    <mergeCell ref="U121:U122"/>
  </mergeCells>
  <conditionalFormatting sqref="D88:D108">
    <cfRule type="cellIs" dxfId="22" priority="2" operator="greaterThan">
      <formula>363249</formula>
    </cfRule>
  </conditionalFormatting>
  <conditionalFormatting sqref="C7:H2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99D0-E92D-49FA-B64B-2AA94A39DBE1}">
  <dimension ref="B2:V142"/>
  <sheetViews>
    <sheetView tabSelected="1" zoomScale="85" workbookViewId="0">
      <selection activeCell="B118" sqref="B118:V120"/>
    </sheetView>
  </sheetViews>
  <sheetFormatPr defaultRowHeight="14.4"/>
  <cols>
    <col min="2" max="2" width="13.5546875" bestFit="1" customWidth="1"/>
    <col min="3" max="3" width="24.6640625" bestFit="1" customWidth="1"/>
    <col min="4" max="4" width="18.6640625" bestFit="1" customWidth="1"/>
    <col min="5" max="5" width="11.77734375" bestFit="1" customWidth="1"/>
    <col min="6" max="6" width="15.6640625" bestFit="1" customWidth="1"/>
    <col min="7" max="7" width="12.88671875" bestFit="1" customWidth="1"/>
    <col min="8" max="8" width="8.88671875" bestFit="1" customWidth="1"/>
    <col min="9" max="9" width="12.21875" bestFit="1" customWidth="1"/>
  </cols>
  <sheetData>
    <row r="2" spans="2:22">
      <c r="B2" s="42" t="s">
        <v>80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  <c r="P2" s="44"/>
      <c r="Q2" s="44"/>
      <c r="R2" s="44"/>
      <c r="S2" s="44"/>
      <c r="T2" s="44"/>
      <c r="U2" s="44"/>
      <c r="V2" s="44"/>
    </row>
    <row r="3" spans="2:22"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  <c r="P3" s="44"/>
      <c r="Q3" s="44"/>
      <c r="R3" s="44"/>
      <c r="S3" s="44"/>
      <c r="T3" s="44"/>
      <c r="U3" s="44"/>
      <c r="V3" s="44"/>
    </row>
    <row r="4" spans="2:22" ht="28.2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4"/>
      <c r="P4" s="44"/>
      <c r="Q4" s="44"/>
      <c r="R4" s="44"/>
      <c r="S4" s="44"/>
      <c r="T4" s="44"/>
      <c r="U4" s="44"/>
      <c r="V4" s="44"/>
    </row>
    <row r="6" spans="2:22" ht="18" customHeight="1">
      <c r="B6" s="14" t="s">
        <v>1</v>
      </c>
      <c r="C6" s="14" t="s">
        <v>40</v>
      </c>
      <c r="D6" s="14" t="s">
        <v>81</v>
      </c>
      <c r="E6" s="14" t="s">
        <v>82</v>
      </c>
      <c r="F6" s="14" t="s">
        <v>83</v>
      </c>
      <c r="G6" s="14" t="s">
        <v>84</v>
      </c>
      <c r="H6" s="14" t="s">
        <v>85</v>
      </c>
      <c r="I6" s="14" t="s">
        <v>86</v>
      </c>
      <c r="J6" s="14"/>
      <c r="M6" s="38" t="s">
        <v>97</v>
      </c>
      <c r="N6" s="38"/>
      <c r="O6" s="38"/>
      <c r="P6" s="38"/>
      <c r="Q6" s="38"/>
      <c r="R6" s="38"/>
      <c r="S6" s="38"/>
      <c r="T6" s="38"/>
      <c r="U6" s="38"/>
    </row>
    <row r="7" spans="2:22" ht="15.6" customHeight="1">
      <c r="B7" s="15">
        <v>1</v>
      </c>
      <c r="C7" s="15" t="s">
        <v>87</v>
      </c>
      <c r="D7" s="23" t="s">
        <v>95</v>
      </c>
      <c r="E7" s="23" t="s">
        <v>96</v>
      </c>
      <c r="F7" s="23" t="s">
        <v>95</v>
      </c>
      <c r="G7" s="23" t="s">
        <v>95</v>
      </c>
      <c r="H7" s="23" t="s">
        <v>95</v>
      </c>
      <c r="I7" s="23" t="s">
        <v>95</v>
      </c>
      <c r="J7" s="15"/>
      <c r="M7" s="38"/>
      <c r="N7" s="38"/>
      <c r="O7" s="38"/>
      <c r="P7" s="38"/>
      <c r="Q7" s="38"/>
      <c r="R7" s="38"/>
      <c r="S7" s="38"/>
      <c r="T7" s="38"/>
      <c r="U7" s="38"/>
    </row>
    <row r="8" spans="2:22">
      <c r="B8" s="15">
        <v>2</v>
      </c>
      <c r="C8" s="15" t="s">
        <v>88</v>
      </c>
      <c r="D8" s="15" t="s">
        <v>96</v>
      </c>
      <c r="E8" s="15" t="s">
        <v>95</v>
      </c>
      <c r="F8" s="15" t="s">
        <v>96</v>
      </c>
      <c r="G8" s="15" t="s">
        <v>95</v>
      </c>
      <c r="H8" s="15" t="s">
        <v>95</v>
      </c>
      <c r="I8" s="15" t="s">
        <v>95</v>
      </c>
      <c r="J8" s="15"/>
    </row>
    <row r="9" spans="2:22" ht="15">
      <c r="B9" s="15">
        <v>3</v>
      </c>
      <c r="C9" s="15" t="s">
        <v>89</v>
      </c>
      <c r="D9" s="23" t="s">
        <v>95</v>
      </c>
      <c r="E9" s="23" t="s">
        <v>96</v>
      </c>
      <c r="F9" s="23" t="s">
        <v>95</v>
      </c>
      <c r="G9" s="23" t="s">
        <v>95</v>
      </c>
      <c r="H9" s="23" t="s">
        <v>95</v>
      </c>
      <c r="I9" s="23" t="s">
        <v>95</v>
      </c>
      <c r="J9" s="15"/>
    </row>
    <row r="10" spans="2:22">
      <c r="B10" s="15">
        <v>4</v>
      </c>
      <c r="C10" s="15" t="s">
        <v>90</v>
      </c>
      <c r="D10" s="15" t="s">
        <v>96</v>
      </c>
      <c r="E10" s="15" t="s">
        <v>95</v>
      </c>
      <c r="F10" s="15" t="s">
        <v>96</v>
      </c>
      <c r="G10" s="15" t="s">
        <v>95</v>
      </c>
      <c r="H10" s="15" t="s">
        <v>95</v>
      </c>
      <c r="I10" s="15" t="s">
        <v>95</v>
      </c>
      <c r="J10" s="15"/>
    </row>
    <row r="11" spans="2:22" ht="15">
      <c r="B11" s="15">
        <v>5</v>
      </c>
      <c r="C11" s="15" t="s">
        <v>91</v>
      </c>
      <c r="D11" s="23" t="s">
        <v>95</v>
      </c>
      <c r="E11" s="23" t="s">
        <v>96</v>
      </c>
      <c r="F11" s="23" t="s">
        <v>95</v>
      </c>
      <c r="G11" s="23" t="s">
        <v>95</v>
      </c>
      <c r="H11" s="23" t="s">
        <v>95</v>
      </c>
      <c r="I11" s="23" t="s">
        <v>95</v>
      </c>
      <c r="J11" s="15"/>
    </row>
    <row r="12" spans="2:22">
      <c r="B12" s="15">
        <v>6</v>
      </c>
      <c r="C12" s="15" t="s">
        <v>87</v>
      </c>
      <c r="D12" s="15" t="s">
        <v>96</v>
      </c>
      <c r="E12" s="15" t="s">
        <v>95</v>
      </c>
      <c r="F12" s="15" t="s">
        <v>96</v>
      </c>
      <c r="G12" s="15" t="s">
        <v>95</v>
      </c>
      <c r="H12" s="15" t="s">
        <v>95</v>
      </c>
      <c r="I12" s="15" t="s">
        <v>95</v>
      </c>
      <c r="J12" s="15"/>
    </row>
    <row r="13" spans="2:22" ht="15">
      <c r="B13" s="15">
        <v>7</v>
      </c>
      <c r="C13" s="15" t="s">
        <v>88</v>
      </c>
      <c r="D13" s="23" t="s">
        <v>95</v>
      </c>
      <c r="E13" s="23" t="s">
        <v>96</v>
      </c>
      <c r="F13" s="23" t="s">
        <v>95</v>
      </c>
      <c r="G13" s="23" t="s">
        <v>95</v>
      </c>
      <c r="H13" s="23" t="s">
        <v>95</v>
      </c>
      <c r="I13" s="23" t="s">
        <v>95</v>
      </c>
      <c r="J13" s="15"/>
    </row>
    <row r="14" spans="2:22">
      <c r="B14" s="15">
        <v>8</v>
      </c>
      <c r="C14" s="15" t="s">
        <v>89</v>
      </c>
      <c r="D14" s="15" t="s">
        <v>96</v>
      </c>
      <c r="E14" s="15" t="s">
        <v>95</v>
      </c>
      <c r="F14" s="15" t="s">
        <v>96</v>
      </c>
      <c r="G14" s="15" t="s">
        <v>95</v>
      </c>
      <c r="H14" s="15" t="s">
        <v>95</v>
      </c>
      <c r="I14" s="15" t="s">
        <v>95</v>
      </c>
      <c r="J14" s="15"/>
    </row>
    <row r="15" spans="2:22" ht="15">
      <c r="B15" s="15">
        <v>9</v>
      </c>
      <c r="C15" s="15" t="s">
        <v>90</v>
      </c>
      <c r="D15" s="23" t="s">
        <v>95</v>
      </c>
      <c r="E15" s="23" t="s">
        <v>96</v>
      </c>
      <c r="F15" s="23" t="s">
        <v>95</v>
      </c>
      <c r="G15" s="23" t="s">
        <v>95</v>
      </c>
      <c r="H15" s="23" t="s">
        <v>95</v>
      </c>
      <c r="I15" s="23" t="s">
        <v>95</v>
      </c>
      <c r="J15" s="15"/>
    </row>
    <row r="16" spans="2:22">
      <c r="B16" s="15">
        <v>10</v>
      </c>
      <c r="C16" s="15" t="s">
        <v>91</v>
      </c>
      <c r="D16" s="15" t="s">
        <v>96</v>
      </c>
      <c r="E16" s="15" t="s">
        <v>95</v>
      </c>
      <c r="F16" s="15" t="s">
        <v>96</v>
      </c>
      <c r="G16" s="15" t="s">
        <v>95</v>
      </c>
      <c r="H16" s="15" t="s">
        <v>95</v>
      </c>
      <c r="I16" s="15" t="s">
        <v>95</v>
      </c>
      <c r="J16" s="15"/>
    </row>
    <row r="17" spans="2:22" ht="15">
      <c r="B17" s="15">
        <v>11</v>
      </c>
      <c r="C17" s="15" t="s">
        <v>87</v>
      </c>
      <c r="D17" s="23" t="s">
        <v>95</v>
      </c>
      <c r="E17" s="23" t="s">
        <v>96</v>
      </c>
      <c r="F17" s="23" t="s">
        <v>95</v>
      </c>
      <c r="G17" s="23" t="s">
        <v>95</v>
      </c>
      <c r="H17" s="23" t="s">
        <v>95</v>
      </c>
      <c r="I17" s="23" t="s">
        <v>95</v>
      </c>
      <c r="J17" s="15"/>
    </row>
    <row r="18" spans="2:22">
      <c r="B18" s="15">
        <v>12</v>
      </c>
      <c r="C18" s="15" t="s">
        <v>88</v>
      </c>
      <c r="D18" s="15" t="s">
        <v>96</v>
      </c>
      <c r="E18" s="15" t="s">
        <v>95</v>
      </c>
      <c r="F18" s="15" t="s">
        <v>96</v>
      </c>
      <c r="G18" s="15" t="s">
        <v>95</v>
      </c>
      <c r="H18" s="15" t="s">
        <v>95</v>
      </c>
      <c r="I18" s="15" t="s">
        <v>95</v>
      </c>
      <c r="J18" s="15"/>
    </row>
    <row r="19" spans="2:22" ht="15">
      <c r="B19" s="15">
        <v>13</v>
      </c>
      <c r="C19" s="15" t="s">
        <v>89</v>
      </c>
      <c r="D19" s="23" t="s">
        <v>95</v>
      </c>
      <c r="E19" s="23" t="s">
        <v>96</v>
      </c>
      <c r="F19" s="23" t="s">
        <v>95</v>
      </c>
      <c r="G19" s="23" t="s">
        <v>95</v>
      </c>
      <c r="H19" s="23" t="s">
        <v>95</v>
      </c>
      <c r="I19" s="23" t="s">
        <v>95</v>
      </c>
      <c r="J19" s="15"/>
    </row>
    <row r="20" spans="2:22">
      <c r="B20" s="15">
        <v>14</v>
      </c>
      <c r="C20" s="15" t="s">
        <v>90</v>
      </c>
      <c r="D20" s="15" t="s">
        <v>96</v>
      </c>
      <c r="E20" s="15" t="s">
        <v>95</v>
      </c>
      <c r="F20" s="15" t="s">
        <v>96</v>
      </c>
      <c r="G20" s="15" t="s">
        <v>95</v>
      </c>
      <c r="H20" s="15" t="s">
        <v>95</v>
      </c>
      <c r="I20" s="15" t="s">
        <v>95</v>
      </c>
      <c r="J20" s="15"/>
    </row>
    <row r="21" spans="2:22" ht="15">
      <c r="B21" s="15">
        <v>15</v>
      </c>
      <c r="C21" s="15" t="s">
        <v>91</v>
      </c>
      <c r="D21" s="23" t="s">
        <v>95</v>
      </c>
      <c r="E21" s="23" t="s">
        <v>96</v>
      </c>
      <c r="F21" s="23" t="s">
        <v>95</v>
      </c>
      <c r="G21" s="23" t="s">
        <v>95</v>
      </c>
      <c r="H21" s="23" t="s">
        <v>95</v>
      </c>
      <c r="I21" s="23" t="s">
        <v>95</v>
      </c>
      <c r="J21" s="15"/>
    </row>
    <row r="22" spans="2:22">
      <c r="B22" s="15">
        <v>16</v>
      </c>
      <c r="C22" s="15" t="s">
        <v>87</v>
      </c>
      <c r="D22" s="15" t="s">
        <v>96</v>
      </c>
      <c r="E22" s="15" t="s">
        <v>95</v>
      </c>
      <c r="F22" s="15" t="s">
        <v>96</v>
      </c>
      <c r="G22" s="15" t="s">
        <v>95</v>
      </c>
      <c r="H22" s="15" t="s">
        <v>95</v>
      </c>
      <c r="I22" s="15" t="s">
        <v>95</v>
      </c>
      <c r="J22" s="15"/>
    </row>
    <row r="23" spans="2:22" ht="15">
      <c r="B23" s="15">
        <v>17</v>
      </c>
      <c r="C23" s="15" t="s">
        <v>88</v>
      </c>
      <c r="D23" s="23" t="s">
        <v>95</v>
      </c>
      <c r="E23" s="23" t="s">
        <v>96</v>
      </c>
      <c r="F23" s="23" t="s">
        <v>95</v>
      </c>
      <c r="G23" s="23" t="s">
        <v>95</v>
      </c>
      <c r="H23" s="23" t="s">
        <v>95</v>
      </c>
      <c r="I23" s="23" t="s">
        <v>95</v>
      </c>
      <c r="J23" s="15"/>
    </row>
    <row r="24" spans="2:22">
      <c r="B24" s="15">
        <v>18</v>
      </c>
      <c r="C24" s="15" t="s">
        <v>89</v>
      </c>
      <c r="D24" s="15" t="s">
        <v>96</v>
      </c>
      <c r="E24" s="15" t="s">
        <v>95</v>
      </c>
      <c r="F24" s="15" t="s">
        <v>96</v>
      </c>
      <c r="G24" s="15" t="s">
        <v>95</v>
      </c>
      <c r="H24" s="15" t="s">
        <v>95</v>
      </c>
      <c r="I24" s="15" t="s">
        <v>95</v>
      </c>
      <c r="J24" s="15"/>
    </row>
    <row r="25" spans="2:22" ht="15">
      <c r="B25" s="15">
        <v>19</v>
      </c>
      <c r="C25" s="15" t="s">
        <v>90</v>
      </c>
      <c r="D25" s="23" t="s">
        <v>95</v>
      </c>
      <c r="E25" s="23" t="s">
        <v>96</v>
      </c>
      <c r="F25" s="23" t="s">
        <v>95</v>
      </c>
      <c r="G25" s="23" t="s">
        <v>95</v>
      </c>
      <c r="H25" s="23" t="s">
        <v>95</v>
      </c>
      <c r="I25" s="23" t="s">
        <v>95</v>
      </c>
      <c r="J25" s="15"/>
    </row>
    <row r="26" spans="2:22">
      <c r="B26" s="15">
        <v>20</v>
      </c>
      <c r="C26" s="15" t="s">
        <v>91</v>
      </c>
      <c r="D26" s="15" t="s">
        <v>96</v>
      </c>
      <c r="E26" s="15" t="s">
        <v>95</v>
      </c>
      <c r="F26" s="15" t="s">
        <v>96</v>
      </c>
      <c r="G26" s="15" t="s">
        <v>95</v>
      </c>
      <c r="H26" s="15" t="s">
        <v>95</v>
      </c>
      <c r="I26" s="15" t="s">
        <v>95</v>
      </c>
      <c r="J26" s="15"/>
    </row>
    <row r="27" spans="2:22">
      <c r="B27" s="15"/>
      <c r="C27" s="15"/>
      <c r="D27" s="15"/>
      <c r="E27" s="15"/>
      <c r="F27" s="15"/>
      <c r="G27" s="15"/>
      <c r="H27" s="15"/>
      <c r="I27" s="15"/>
      <c r="J27" s="15"/>
    </row>
    <row r="28" spans="2:22" ht="15.6">
      <c r="B28" s="15"/>
      <c r="C28" s="19" t="s">
        <v>92</v>
      </c>
      <c r="D28" s="19">
        <f>COUNTIF(D7:I26,F15)</f>
        <v>90</v>
      </c>
      <c r="E28" s="19"/>
      <c r="F28" s="19"/>
      <c r="G28" s="19"/>
      <c r="H28" s="19"/>
      <c r="I28" s="19"/>
      <c r="J28" s="15"/>
    </row>
    <row r="29" spans="2:22" ht="15.6">
      <c r="B29" s="15"/>
      <c r="C29" s="19" t="s">
        <v>93</v>
      </c>
      <c r="D29" s="19">
        <f>COUNTIF(D7:I26,F16)</f>
        <v>30</v>
      </c>
      <c r="E29" s="19"/>
      <c r="F29" s="19"/>
      <c r="G29" s="19"/>
      <c r="H29" s="19"/>
      <c r="I29" s="19"/>
      <c r="J29" s="15"/>
    </row>
    <row r="32" spans="2:22">
      <c r="B32" s="42" t="s">
        <v>98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spans="2:22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spans="2:22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6" spans="2:22" ht="17.399999999999999">
      <c r="C36" s="14" t="s">
        <v>99</v>
      </c>
      <c r="D36" s="14" t="s">
        <v>19</v>
      </c>
      <c r="E36" s="14"/>
      <c r="H36" s="38" t="s">
        <v>152</v>
      </c>
      <c r="I36" s="38"/>
      <c r="J36" s="38"/>
      <c r="K36" s="38"/>
      <c r="L36" s="38"/>
      <c r="M36" s="38"/>
      <c r="N36" s="38"/>
      <c r="O36" s="38"/>
      <c r="P36" s="38"/>
    </row>
    <row r="37" spans="2:22">
      <c r="C37" s="15">
        <v>101</v>
      </c>
      <c r="D37" s="15">
        <f ca="1">RANDBETWEEN(5000,10000)</f>
        <v>6994</v>
      </c>
      <c r="E37" s="15"/>
      <c r="H37" s="38"/>
      <c r="I37" s="38"/>
      <c r="J37" s="38"/>
      <c r="K37" s="38"/>
      <c r="L37" s="38"/>
      <c r="M37" s="38"/>
      <c r="N37" s="38"/>
      <c r="O37" s="38"/>
      <c r="P37" s="38"/>
    </row>
    <row r="38" spans="2:22">
      <c r="C38" s="15">
        <v>102</v>
      </c>
      <c r="D38" s="15">
        <f t="shared" ref="D38:D56" ca="1" si="0">RANDBETWEEN(5000,10000)</f>
        <v>8647</v>
      </c>
      <c r="E38" s="15"/>
    </row>
    <row r="39" spans="2:22">
      <c r="C39" s="15">
        <v>103</v>
      </c>
      <c r="D39" s="15">
        <f t="shared" ca="1" si="0"/>
        <v>8320</v>
      </c>
      <c r="E39" s="15"/>
    </row>
    <row r="40" spans="2:22">
      <c r="C40" s="15">
        <v>104</v>
      </c>
      <c r="D40" s="15">
        <f t="shared" ca="1" si="0"/>
        <v>5598</v>
      </c>
      <c r="E40" s="15"/>
    </row>
    <row r="41" spans="2:22">
      <c r="C41" s="15">
        <v>105</v>
      </c>
      <c r="D41" s="15">
        <f t="shared" ca="1" si="0"/>
        <v>9881</v>
      </c>
      <c r="E41" s="15"/>
    </row>
    <row r="42" spans="2:22">
      <c r="C42" s="15">
        <v>106</v>
      </c>
      <c r="D42" s="15">
        <f t="shared" ca="1" si="0"/>
        <v>8081</v>
      </c>
      <c r="E42" s="15"/>
    </row>
    <row r="43" spans="2:22">
      <c r="C43" s="15">
        <v>107</v>
      </c>
      <c r="D43" s="15">
        <f t="shared" ca="1" si="0"/>
        <v>8623</v>
      </c>
      <c r="E43" s="15"/>
    </row>
    <row r="44" spans="2:22">
      <c r="C44" s="15">
        <v>108</v>
      </c>
      <c r="D44" s="15">
        <f t="shared" ca="1" si="0"/>
        <v>8659</v>
      </c>
      <c r="E44" s="15"/>
    </row>
    <row r="45" spans="2:22">
      <c r="C45" s="15">
        <v>109</v>
      </c>
      <c r="D45" s="15">
        <f t="shared" ca="1" si="0"/>
        <v>7202</v>
      </c>
      <c r="E45" s="15"/>
    </row>
    <row r="46" spans="2:22">
      <c r="C46" s="15">
        <v>110</v>
      </c>
      <c r="D46" s="15">
        <f t="shared" ca="1" si="0"/>
        <v>9742</v>
      </c>
      <c r="E46" s="15"/>
    </row>
    <row r="47" spans="2:22">
      <c r="C47" s="15">
        <v>111</v>
      </c>
      <c r="D47" s="15">
        <f t="shared" ca="1" si="0"/>
        <v>8416</v>
      </c>
      <c r="E47" s="15"/>
    </row>
    <row r="48" spans="2:22">
      <c r="C48" s="15">
        <v>112</v>
      </c>
      <c r="D48" s="15">
        <f t="shared" ca="1" si="0"/>
        <v>6907</v>
      </c>
      <c r="E48" s="15"/>
    </row>
    <row r="49" spans="3:9">
      <c r="C49" s="15">
        <v>113</v>
      </c>
      <c r="D49" s="15">
        <f t="shared" ca="1" si="0"/>
        <v>7958</v>
      </c>
      <c r="E49" s="15"/>
    </row>
    <row r="50" spans="3:9">
      <c r="C50" s="15">
        <v>114</v>
      </c>
      <c r="D50" s="15">
        <f t="shared" ca="1" si="0"/>
        <v>8519</v>
      </c>
      <c r="E50" s="15"/>
    </row>
    <row r="51" spans="3:9">
      <c r="C51" s="15">
        <v>115</v>
      </c>
      <c r="D51" s="15">
        <f t="shared" ca="1" si="0"/>
        <v>6691</v>
      </c>
      <c r="E51" s="15"/>
    </row>
    <row r="52" spans="3:9">
      <c r="C52" s="15">
        <v>116</v>
      </c>
      <c r="D52" s="15">
        <f t="shared" ca="1" si="0"/>
        <v>9252</v>
      </c>
      <c r="E52" s="15"/>
    </row>
    <row r="53" spans="3:9">
      <c r="C53" s="15">
        <v>117</v>
      </c>
      <c r="D53" s="15">
        <f t="shared" ca="1" si="0"/>
        <v>9332</v>
      </c>
      <c r="E53" s="15"/>
    </row>
    <row r="54" spans="3:9">
      <c r="C54" s="15">
        <v>118</v>
      </c>
      <c r="D54" s="15">
        <f t="shared" ca="1" si="0"/>
        <v>6506</v>
      </c>
      <c r="E54" s="15"/>
    </row>
    <row r="55" spans="3:9">
      <c r="C55" s="15">
        <v>119</v>
      </c>
      <c r="D55" s="15">
        <f t="shared" ca="1" si="0"/>
        <v>9379</v>
      </c>
      <c r="E55" s="15"/>
    </row>
    <row r="56" spans="3:9">
      <c r="C56" s="15">
        <v>120</v>
      </c>
      <c r="D56" s="15">
        <f t="shared" ca="1" si="0"/>
        <v>9263</v>
      </c>
      <c r="E56" s="15"/>
    </row>
    <row r="57" spans="3:9">
      <c r="C57" s="15"/>
      <c r="D57" s="15"/>
      <c r="E57" s="15"/>
    </row>
    <row r="58" spans="3:9">
      <c r="C58" s="15"/>
      <c r="D58" s="15" t="b">
        <f ca="1">E62=E61=COUNTIF(D37:D56,"&gt;10000")</f>
        <v>0</v>
      </c>
      <c r="E58" s="15"/>
    </row>
    <row r="59" spans="3:9">
      <c r="C59" s="15"/>
      <c r="D59" s="15">
        <f ca="1">COUNTIF(D37:D56,"&lt;7000")</f>
        <v>5</v>
      </c>
      <c r="E59" s="15"/>
    </row>
    <row r="60" spans="3:9">
      <c r="C60" s="15"/>
      <c r="D60" s="15"/>
      <c r="E60" s="15"/>
    </row>
    <row r="61" spans="3:9" ht="15.6">
      <c r="C61" s="19" t="s">
        <v>100</v>
      </c>
      <c r="D61" s="19"/>
      <c r="E61" s="15">
        <f ca="1">COUNTIF(D37:D56,"&gt;10000")</f>
        <v>0</v>
      </c>
    </row>
    <row r="62" spans="3:9" ht="15.6">
      <c r="C62" s="19" t="s">
        <v>101</v>
      </c>
      <c r="D62" s="19"/>
      <c r="E62" s="15" t="b">
        <f ca="1">E61=COUNTIF(D37:D56,"&gt;10000")</f>
        <v>1</v>
      </c>
    </row>
    <row r="63" spans="3:9">
      <c r="I63" s="20"/>
    </row>
    <row r="65" spans="2:22">
      <c r="B65" s="42" t="s">
        <v>102</v>
      </c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2:22"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2:22"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9" spans="2:22" ht="17.399999999999999">
      <c r="B69" s="46" t="s">
        <v>121</v>
      </c>
      <c r="C69" s="46" t="s">
        <v>122</v>
      </c>
      <c r="D69" s="46" t="s">
        <v>19</v>
      </c>
      <c r="G69" s="38" t="s">
        <v>153</v>
      </c>
      <c r="H69" s="38"/>
      <c r="I69" s="38"/>
      <c r="J69" s="38"/>
      <c r="K69" s="38"/>
      <c r="L69" s="38"/>
      <c r="M69" s="38"/>
      <c r="N69" s="38"/>
      <c r="O69" s="38"/>
    </row>
    <row r="70" spans="2:22">
      <c r="B70" s="15">
        <v>1</v>
      </c>
      <c r="C70" s="15" t="s">
        <v>87</v>
      </c>
      <c r="D70" s="15">
        <f ca="1">RANDBETWEEN(2000,60000)</f>
        <v>54712</v>
      </c>
      <c r="G70" s="38"/>
      <c r="H70" s="38"/>
      <c r="I70" s="38"/>
      <c r="J70" s="38"/>
      <c r="K70" s="38"/>
      <c r="L70" s="38"/>
      <c r="M70" s="38"/>
      <c r="N70" s="38"/>
      <c r="O70" s="38"/>
    </row>
    <row r="71" spans="2:22">
      <c r="B71" s="15">
        <v>2</v>
      </c>
      <c r="C71" s="15" t="s">
        <v>88</v>
      </c>
      <c r="D71" s="15">
        <f t="shared" ref="D71:D89" ca="1" si="1">RANDBETWEEN(2000,60000)</f>
        <v>17142</v>
      </c>
    </row>
    <row r="72" spans="2:22">
      <c r="B72" s="15">
        <v>3</v>
      </c>
      <c r="C72" s="15" t="s">
        <v>89</v>
      </c>
      <c r="D72" s="15">
        <f t="shared" ca="1" si="1"/>
        <v>47880</v>
      </c>
    </row>
    <row r="73" spans="2:22">
      <c r="B73" s="15">
        <v>4</v>
      </c>
      <c r="C73" s="15" t="s">
        <v>90</v>
      </c>
      <c r="D73" s="15">
        <f t="shared" ca="1" si="1"/>
        <v>20191</v>
      </c>
    </row>
    <row r="74" spans="2:22">
      <c r="B74" s="15">
        <v>5</v>
      </c>
      <c r="C74" s="15" t="s">
        <v>91</v>
      </c>
      <c r="D74" s="15">
        <f t="shared" ca="1" si="1"/>
        <v>14225</v>
      </c>
    </row>
    <row r="75" spans="2:22">
      <c r="B75" s="15">
        <v>6</v>
      </c>
      <c r="C75" s="15" t="s">
        <v>87</v>
      </c>
      <c r="D75" s="15">
        <f t="shared" ca="1" si="1"/>
        <v>41452</v>
      </c>
    </row>
    <row r="76" spans="2:22">
      <c r="B76" s="15">
        <v>7</v>
      </c>
      <c r="C76" s="15" t="s">
        <v>88</v>
      </c>
      <c r="D76" s="15">
        <f t="shared" ca="1" si="1"/>
        <v>26481</v>
      </c>
    </row>
    <row r="77" spans="2:22">
      <c r="B77" s="15">
        <v>8</v>
      </c>
      <c r="C77" s="15" t="s">
        <v>89</v>
      </c>
      <c r="D77" s="15">
        <f t="shared" ca="1" si="1"/>
        <v>33570</v>
      </c>
    </row>
    <row r="78" spans="2:22">
      <c r="B78" s="15">
        <v>9</v>
      </c>
      <c r="C78" s="15" t="s">
        <v>90</v>
      </c>
      <c r="D78" s="15">
        <f t="shared" ca="1" si="1"/>
        <v>39658</v>
      </c>
    </row>
    <row r="79" spans="2:22">
      <c r="B79" s="15">
        <v>10</v>
      </c>
      <c r="C79" s="15" t="s">
        <v>91</v>
      </c>
      <c r="D79" s="15">
        <f t="shared" ca="1" si="1"/>
        <v>39256</v>
      </c>
    </row>
    <row r="80" spans="2:22">
      <c r="B80" s="15">
        <v>11</v>
      </c>
      <c r="C80" s="15" t="s">
        <v>87</v>
      </c>
      <c r="D80" s="15">
        <f t="shared" ca="1" si="1"/>
        <v>15807</v>
      </c>
    </row>
    <row r="81" spans="2:22">
      <c r="B81" s="15">
        <v>12</v>
      </c>
      <c r="C81" s="15" t="s">
        <v>88</v>
      </c>
      <c r="D81" s="15">
        <f t="shared" ca="1" si="1"/>
        <v>29723</v>
      </c>
    </row>
    <row r="82" spans="2:22">
      <c r="B82" s="15">
        <v>13</v>
      </c>
      <c r="C82" s="15" t="s">
        <v>89</v>
      </c>
      <c r="D82" s="15">
        <f t="shared" ca="1" si="1"/>
        <v>24683</v>
      </c>
    </row>
    <row r="83" spans="2:22">
      <c r="B83" s="15">
        <v>14</v>
      </c>
      <c r="C83" s="15" t="s">
        <v>90</v>
      </c>
      <c r="D83" s="15">
        <f t="shared" ca="1" si="1"/>
        <v>40261</v>
      </c>
    </row>
    <row r="84" spans="2:22">
      <c r="B84" s="15">
        <v>15</v>
      </c>
      <c r="C84" s="15" t="s">
        <v>91</v>
      </c>
      <c r="D84" s="15">
        <f t="shared" ca="1" si="1"/>
        <v>28880</v>
      </c>
    </row>
    <row r="85" spans="2:22">
      <c r="B85" s="15">
        <v>16</v>
      </c>
      <c r="C85" s="15" t="s">
        <v>87</v>
      </c>
      <c r="D85" s="15">
        <f t="shared" ca="1" si="1"/>
        <v>5157</v>
      </c>
    </row>
    <row r="86" spans="2:22">
      <c r="B86" s="15">
        <v>17</v>
      </c>
      <c r="C86" s="15" t="s">
        <v>88</v>
      </c>
      <c r="D86" s="15">
        <f t="shared" ca="1" si="1"/>
        <v>44213</v>
      </c>
    </row>
    <row r="87" spans="2:22">
      <c r="B87" s="15">
        <v>18</v>
      </c>
      <c r="C87" s="15" t="s">
        <v>89</v>
      </c>
      <c r="D87" s="15">
        <f t="shared" ca="1" si="1"/>
        <v>27693</v>
      </c>
    </row>
    <row r="88" spans="2:22">
      <c r="B88" s="15">
        <v>19</v>
      </c>
      <c r="C88" s="15" t="s">
        <v>90</v>
      </c>
      <c r="D88" s="15">
        <f t="shared" ca="1" si="1"/>
        <v>51676</v>
      </c>
    </row>
    <row r="89" spans="2:22">
      <c r="B89" s="15">
        <v>20</v>
      </c>
      <c r="C89" s="15" t="s">
        <v>91</v>
      </c>
      <c r="D89" s="15">
        <f t="shared" ca="1" si="1"/>
        <v>12950</v>
      </c>
    </row>
    <row r="91" spans="2:22">
      <c r="B91" s="42" t="s">
        <v>135</v>
      </c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spans="2:22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spans="2:22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5" spans="2:22" ht="17.399999999999999">
      <c r="B95" s="14" t="s">
        <v>1</v>
      </c>
      <c r="C95" s="14" t="s">
        <v>40</v>
      </c>
      <c r="D95" s="14" t="s">
        <v>151</v>
      </c>
      <c r="G95" s="38" t="s">
        <v>154</v>
      </c>
      <c r="H95" s="38"/>
      <c r="I95" s="38"/>
      <c r="J95" s="38"/>
      <c r="K95" s="38"/>
      <c r="L95" s="38"/>
      <c r="M95" s="38"/>
      <c r="N95" s="38"/>
      <c r="O95" s="38"/>
    </row>
    <row r="96" spans="2:22">
      <c r="B96" s="15">
        <v>1</v>
      </c>
      <c r="C96" s="15" t="s">
        <v>87</v>
      </c>
      <c r="D96" s="15">
        <f ca="1">RANDBETWEEN(20,99)</f>
        <v>75</v>
      </c>
      <c r="G96" s="38"/>
      <c r="H96" s="38"/>
      <c r="I96" s="38"/>
      <c r="J96" s="38"/>
      <c r="K96" s="38"/>
      <c r="L96" s="38"/>
      <c r="M96" s="38"/>
      <c r="N96" s="38"/>
      <c r="O96" s="38"/>
    </row>
    <row r="97" spans="2:4">
      <c r="B97" s="15">
        <v>2</v>
      </c>
      <c r="C97" s="15" t="s">
        <v>88</v>
      </c>
      <c r="D97" s="15">
        <f t="shared" ref="D97:D115" ca="1" si="2">RANDBETWEEN(20,99)</f>
        <v>26</v>
      </c>
    </row>
    <row r="98" spans="2:4">
      <c r="B98" s="15">
        <v>3</v>
      </c>
      <c r="C98" s="15" t="s">
        <v>89</v>
      </c>
      <c r="D98" s="15">
        <f t="shared" ca="1" si="2"/>
        <v>58</v>
      </c>
    </row>
    <row r="99" spans="2:4">
      <c r="B99" s="15">
        <v>4</v>
      </c>
      <c r="C99" s="15" t="s">
        <v>90</v>
      </c>
      <c r="D99" s="15">
        <f t="shared" ca="1" si="2"/>
        <v>29</v>
      </c>
    </row>
    <row r="100" spans="2:4">
      <c r="B100" s="15">
        <v>5</v>
      </c>
      <c r="C100" s="15" t="s">
        <v>91</v>
      </c>
      <c r="D100" s="15">
        <f t="shared" ca="1" si="2"/>
        <v>42</v>
      </c>
    </row>
    <row r="101" spans="2:4">
      <c r="B101" s="15">
        <v>6</v>
      </c>
      <c r="C101" s="15" t="s">
        <v>87</v>
      </c>
      <c r="D101" s="15">
        <f t="shared" ca="1" si="2"/>
        <v>39</v>
      </c>
    </row>
    <row r="102" spans="2:4">
      <c r="B102" s="15">
        <v>7</v>
      </c>
      <c r="C102" s="15" t="s">
        <v>88</v>
      </c>
      <c r="D102" s="15">
        <f t="shared" ca="1" si="2"/>
        <v>72</v>
      </c>
    </row>
    <row r="103" spans="2:4">
      <c r="B103" s="15">
        <v>8</v>
      </c>
      <c r="C103" s="15" t="s">
        <v>89</v>
      </c>
      <c r="D103" s="15">
        <f t="shared" ca="1" si="2"/>
        <v>54</v>
      </c>
    </row>
    <row r="104" spans="2:4">
      <c r="B104" s="15">
        <v>9</v>
      </c>
      <c r="C104" s="15" t="s">
        <v>90</v>
      </c>
      <c r="D104" s="15">
        <f t="shared" ca="1" si="2"/>
        <v>40</v>
      </c>
    </row>
    <row r="105" spans="2:4">
      <c r="B105" s="15">
        <v>10</v>
      </c>
      <c r="C105" s="15" t="s">
        <v>91</v>
      </c>
      <c r="D105" s="15">
        <f t="shared" ca="1" si="2"/>
        <v>31</v>
      </c>
    </row>
    <row r="106" spans="2:4">
      <c r="B106" s="15">
        <v>11</v>
      </c>
      <c r="C106" s="15" t="s">
        <v>87</v>
      </c>
      <c r="D106" s="15">
        <f t="shared" ca="1" si="2"/>
        <v>57</v>
      </c>
    </row>
    <row r="107" spans="2:4">
      <c r="B107" s="15">
        <v>12</v>
      </c>
      <c r="C107" s="15" t="s">
        <v>88</v>
      </c>
      <c r="D107" s="15">
        <f t="shared" ca="1" si="2"/>
        <v>98</v>
      </c>
    </row>
    <row r="108" spans="2:4">
      <c r="B108" s="15">
        <v>13</v>
      </c>
      <c r="C108" s="15" t="s">
        <v>89</v>
      </c>
      <c r="D108" s="15">
        <f t="shared" ca="1" si="2"/>
        <v>21</v>
      </c>
    </row>
    <row r="109" spans="2:4">
      <c r="B109" s="15">
        <v>14</v>
      </c>
      <c r="C109" s="15" t="s">
        <v>90</v>
      </c>
      <c r="D109" s="15">
        <f t="shared" ca="1" si="2"/>
        <v>27</v>
      </c>
    </row>
    <row r="110" spans="2:4">
      <c r="B110" s="15">
        <v>15</v>
      </c>
      <c r="C110" s="15" t="s">
        <v>91</v>
      </c>
      <c r="D110" s="15">
        <f t="shared" ca="1" si="2"/>
        <v>95</v>
      </c>
    </row>
    <row r="111" spans="2:4">
      <c r="B111" s="15">
        <v>16</v>
      </c>
      <c r="C111" s="15" t="s">
        <v>87</v>
      </c>
      <c r="D111" s="15">
        <f t="shared" ca="1" si="2"/>
        <v>98</v>
      </c>
    </row>
    <row r="112" spans="2:4">
      <c r="B112" s="15">
        <v>17</v>
      </c>
      <c r="C112" s="15" t="s">
        <v>88</v>
      </c>
      <c r="D112" s="15">
        <f t="shared" ca="1" si="2"/>
        <v>38</v>
      </c>
    </row>
    <row r="113" spans="2:22">
      <c r="B113" s="15">
        <v>18</v>
      </c>
      <c r="C113" s="15" t="s">
        <v>89</v>
      </c>
      <c r="D113" s="15">
        <f t="shared" ca="1" si="2"/>
        <v>35</v>
      </c>
    </row>
    <row r="114" spans="2:22">
      <c r="B114" s="15">
        <v>19</v>
      </c>
      <c r="C114" s="15" t="s">
        <v>90</v>
      </c>
      <c r="D114" s="15">
        <f t="shared" ca="1" si="2"/>
        <v>69</v>
      </c>
    </row>
    <row r="115" spans="2:22">
      <c r="B115" s="15">
        <v>20</v>
      </c>
      <c r="C115" s="15" t="s">
        <v>91</v>
      </c>
      <c r="D115" s="15">
        <f t="shared" ca="1" si="2"/>
        <v>87</v>
      </c>
    </row>
    <row r="118" spans="2:22">
      <c r="B118" s="42" t="s">
        <v>138</v>
      </c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spans="2:22"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spans="2:22"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2" spans="2:22" ht="17.399999999999999">
      <c r="B122" s="25" t="s">
        <v>139</v>
      </c>
      <c r="C122" s="25" t="s">
        <v>4</v>
      </c>
      <c r="F122" s="38" t="s">
        <v>155</v>
      </c>
      <c r="G122" s="38"/>
      <c r="H122" s="38"/>
      <c r="I122" s="38"/>
      <c r="J122" s="38"/>
      <c r="K122" s="38"/>
      <c r="L122" s="38"/>
      <c r="M122" s="38"/>
      <c r="N122" s="38"/>
    </row>
    <row r="123" spans="2:22">
      <c r="B123" s="15" t="s">
        <v>87</v>
      </c>
      <c r="C123" s="15">
        <f ca="1">RANDBETWEEN(20000,60000)</f>
        <v>47387</v>
      </c>
      <c r="F123" s="38"/>
      <c r="G123" s="38"/>
      <c r="H123" s="38"/>
      <c r="I123" s="38"/>
      <c r="J123" s="38"/>
      <c r="K123" s="38"/>
      <c r="L123" s="38"/>
      <c r="M123" s="38"/>
      <c r="N123" s="38"/>
    </row>
    <row r="124" spans="2:22">
      <c r="B124" s="15" t="s">
        <v>88</v>
      </c>
      <c r="C124" s="15">
        <f t="shared" ref="C124:C142" ca="1" si="3">RANDBETWEEN(20000,60000)</f>
        <v>44803</v>
      </c>
    </row>
    <row r="125" spans="2:22">
      <c r="B125" s="15" t="s">
        <v>89</v>
      </c>
      <c r="C125" s="15">
        <f t="shared" ca="1" si="3"/>
        <v>30443</v>
      </c>
    </row>
    <row r="126" spans="2:22">
      <c r="B126" s="15" t="s">
        <v>90</v>
      </c>
      <c r="C126" s="15">
        <f t="shared" ca="1" si="3"/>
        <v>24418</v>
      </c>
    </row>
    <row r="127" spans="2:22">
      <c r="B127" s="15" t="s">
        <v>91</v>
      </c>
      <c r="C127" s="15">
        <f t="shared" ca="1" si="3"/>
        <v>37530</v>
      </c>
    </row>
    <row r="128" spans="2:22">
      <c r="B128" s="15" t="s">
        <v>87</v>
      </c>
      <c r="C128" s="15">
        <f t="shared" ca="1" si="3"/>
        <v>23529</v>
      </c>
    </row>
    <row r="129" spans="2:3">
      <c r="B129" s="15" t="s">
        <v>88</v>
      </c>
      <c r="C129" s="15">
        <f t="shared" ca="1" si="3"/>
        <v>29027</v>
      </c>
    </row>
    <row r="130" spans="2:3">
      <c r="B130" s="15" t="s">
        <v>89</v>
      </c>
      <c r="C130" s="15">
        <f t="shared" ca="1" si="3"/>
        <v>26572</v>
      </c>
    </row>
    <row r="131" spans="2:3">
      <c r="B131" s="15" t="s">
        <v>90</v>
      </c>
      <c r="C131" s="15">
        <f t="shared" ca="1" si="3"/>
        <v>41833</v>
      </c>
    </row>
    <row r="132" spans="2:3">
      <c r="B132" s="15" t="s">
        <v>91</v>
      </c>
      <c r="C132" s="15">
        <f t="shared" ca="1" si="3"/>
        <v>30730</v>
      </c>
    </row>
    <row r="133" spans="2:3">
      <c r="B133" s="15" t="s">
        <v>87</v>
      </c>
      <c r="C133" s="15">
        <f t="shared" ca="1" si="3"/>
        <v>30440</v>
      </c>
    </row>
    <row r="134" spans="2:3">
      <c r="B134" s="15" t="s">
        <v>88</v>
      </c>
      <c r="C134" s="15">
        <f t="shared" ca="1" si="3"/>
        <v>35096</v>
      </c>
    </row>
    <row r="135" spans="2:3">
      <c r="B135" s="15" t="s">
        <v>89</v>
      </c>
      <c r="C135" s="15">
        <f t="shared" ca="1" si="3"/>
        <v>23256</v>
      </c>
    </row>
    <row r="136" spans="2:3">
      <c r="B136" s="15" t="s">
        <v>90</v>
      </c>
      <c r="C136" s="15">
        <f t="shared" ca="1" si="3"/>
        <v>24643</v>
      </c>
    </row>
    <row r="137" spans="2:3">
      <c r="B137" s="15" t="s">
        <v>91</v>
      </c>
      <c r="C137" s="15">
        <f t="shared" ca="1" si="3"/>
        <v>55963</v>
      </c>
    </row>
    <row r="138" spans="2:3">
      <c r="B138" s="15" t="s">
        <v>87</v>
      </c>
      <c r="C138" s="15">
        <f t="shared" ca="1" si="3"/>
        <v>35786</v>
      </c>
    </row>
    <row r="139" spans="2:3">
      <c r="B139" s="15" t="s">
        <v>88</v>
      </c>
      <c r="C139" s="15">
        <f t="shared" ca="1" si="3"/>
        <v>43967</v>
      </c>
    </row>
    <row r="140" spans="2:3">
      <c r="B140" s="15" t="s">
        <v>89</v>
      </c>
      <c r="C140" s="15">
        <f t="shared" ca="1" si="3"/>
        <v>56148</v>
      </c>
    </row>
    <row r="141" spans="2:3">
      <c r="B141" s="15" t="s">
        <v>90</v>
      </c>
      <c r="C141" s="15">
        <f t="shared" ca="1" si="3"/>
        <v>47805</v>
      </c>
    </row>
    <row r="142" spans="2:3">
      <c r="B142" s="15" t="s">
        <v>91</v>
      </c>
      <c r="C142" s="15">
        <f t="shared" ca="1" si="3"/>
        <v>41936</v>
      </c>
    </row>
  </sheetData>
  <mergeCells count="12">
    <mergeCell ref="F122:N123"/>
    <mergeCell ref="B91:V93"/>
    <mergeCell ref="B118:V120"/>
    <mergeCell ref="H36:P37"/>
    <mergeCell ref="G69:O70"/>
    <mergeCell ref="G95:O96"/>
    <mergeCell ref="B32:V34"/>
    <mergeCell ref="B65:V67"/>
    <mergeCell ref="B2:N4"/>
    <mergeCell ref="O2:V3"/>
    <mergeCell ref="O4:V4"/>
    <mergeCell ref="M6:U7"/>
  </mergeCells>
  <conditionalFormatting sqref="D70:D89">
    <cfRule type="cellIs" dxfId="12" priority="7" operator="greaterThan">
      <formula>20000</formula>
    </cfRule>
    <cfRule type="cellIs" dxfId="11" priority="6" operator="lessThan">
      <formula>20000</formula>
    </cfRule>
  </conditionalFormatting>
  <conditionalFormatting sqref="D96:D115">
    <cfRule type="cellIs" dxfId="10" priority="5" operator="greaterThanOrEqual">
      <formula>75</formula>
    </cfRule>
    <cfRule type="cellIs" dxfId="9" priority="4" operator="lessThan">
      <formula>40</formula>
    </cfRule>
  </conditionalFormatting>
  <conditionalFormatting sqref="C123:C142">
    <cfRule type="cellIs" dxfId="0" priority="3" operator="greaterThanOrEqual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3572-401B-424E-BB84-A30622E6391D}">
  <dimension ref="A1:W64"/>
  <sheetViews>
    <sheetView zoomScale="82" zoomScaleNormal="77" workbookViewId="0">
      <selection activeCell="E59" sqref="E59"/>
    </sheetView>
  </sheetViews>
  <sheetFormatPr defaultRowHeight="14.4"/>
  <cols>
    <col min="2" max="2" width="18.109375" bestFit="1" customWidth="1"/>
    <col min="3" max="3" width="17.44140625" bestFit="1" customWidth="1"/>
    <col min="4" max="4" width="27.109375" bestFit="1" customWidth="1"/>
    <col min="5" max="5" width="10.6640625" bestFit="1" customWidth="1"/>
  </cols>
  <sheetData>
    <row r="1" spans="1:23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9"/>
    </row>
    <row r="2" spans="1:23">
      <c r="A2" s="30"/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"/>
    </row>
    <row r="3" spans="1:23">
      <c r="A3" s="30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1"/>
    </row>
    <row r="4" spans="1:23">
      <c r="A4" s="30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1"/>
    </row>
    <row r="5" spans="1:23">
      <c r="A5" s="30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31"/>
    </row>
    <row r="6" spans="1:23" ht="17.399999999999999">
      <c r="A6" s="30"/>
      <c r="B6" s="21" t="s">
        <v>39</v>
      </c>
      <c r="C6" s="21" t="s">
        <v>40</v>
      </c>
      <c r="D6" s="21" t="s">
        <v>104</v>
      </c>
      <c r="E6" s="21" t="s">
        <v>107</v>
      </c>
      <c r="F6" s="13"/>
      <c r="G6" s="13"/>
      <c r="H6" s="38" t="s">
        <v>141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13"/>
      <c r="W6" s="31"/>
    </row>
    <row r="7" spans="1:23">
      <c r="A7" s="30"/>
      <c r="B7" s="15">
        <v>1</v>
      </c>
      <c r="C7" s="15" t="s">
        <v>103</v>
      </c>
      <c r="D7" s="15">
        <v>78</v>
      </c>
      <c r="E7" s="36" t="str">
        <f>IF(D7&gt;=40,"Pass","Fail")</f>
        <v>Pass</v>
      </c>
      <c r="F7" s="13"/>
      <c r="G7" s="13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13"/>
      <c r="W7" s="31"/>
    </row>
    <row r="8" spans="1:23">
      <c r="A8" s="30"/>
      <c r="B8" s="15">
        <v>2</v>
      </c>
      <c r="C8" s="15" t="s">
        <v>109</v>
      </c>
      <c r="D8" s="15">
        <v>35</v>
      </c>
      <c r="E8" s="36" t="str">
        <f t="shared" ref="E8:E11" si="0">IF(D8&gt;=40,"Pass","Fail")</f>
        <v>Fail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31"/>
    </row>
    <row r="9" spans="1:23">
      <c r="A9" s="30"/>
      <c r="B9" s="15">
        <v>3</v>
      </c>
      <c r="C9" s="15" t="s">
        <v>110</v>
      </c>
      <c r="D9" s="15">
        <v>62</v>
      </c>
      <c r="E9" s="36" t="str">
        <f t="shared" si="0"/>
        <v>Pass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31"/>
    </row>
    <row r="10" spans="1:23">
      <c r="A10" s="30"/>
      <c r="B10" s="15">
        <v>4</v>
      </c>
      <c r="C10" s="15" t="s">
        <v>108</v>
      </c>
      <c r="D10" s="15">
        <v>40</v>
      </c>
      <c r="E10" s="36" t="str">
        <f t="shared" si="0"/>
        <v>Pass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31"/>
    </row>
    <row r="11" spans="1:23">
      <c r="A11" s="30"/>
      <c r="B11" s="15">
        <v>5</v>
      </c>
      <c r="C11" s="15" t="s">
        <v>7</v>
      </c>
      <c r="D11" s="15">
        <v>28</v>
      </c>
      <c r="E11" s="36" t="str">
        <f t="shared" si="0"/>
        <v>Fail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31"/>
    </row>
    <row r="12" spans="1:23">
      <c r="A12" s="30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1"/>
    </row>
    <row r="13" spans="1:23">
      <c r="A13" s="30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1"/>
    </row>
    <row r="14" spans="1:23">
      <c r="A14" s="30"/>
      <c r="B14" s="39" t="s">
        <v>16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1"/>
    </row>
    <row r="15" spans="1:23">
      <c r="A15" s="30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1"/>
    </row>
    <row r="16" spans="1:23">
      <c r="A16" s="3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1"/>
    </row>
    <row r="17" spans="1:23">
      <c r="A17" s="30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31"/>
    </row>
    <row r="18" spans="1:23" ht="17.399999999999999">
      <c r="A18" s="30"/>
      <c r="B18" s="22" t="s">
        <v>111</v>
      </c>
      <c r="C18" s="22" t="s">
        <v>4</v>
      </c>
      <c r="D18" s="22" t="s">
        <v>112</v>
      </c>
      <c r="E18" s="13"/>
      <c r="F18" s="13"/>
      <c r="G18" s="13"/>
      <c r="H18" s="38" t="s">
        <v>142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13"/>
      <c r="W18" s="31"/>
    </row>
    <row r="19" spans="1:23">
      <c r="A19" s="30"/>
      <c r="B19" s="15" t="s">
        <v>103</v>
      </c>
      <c r="C19" s="15">
        <v>28000</v>
      </c>
      <c r="D19" s="36" t="str">
        <f>IF(C19&gt;40000,"Bonus","No Bonus")</f>
        <v>No Bonus</v>
      </c>
      <c r="E19" s="13"/>
      <c r="F19" s="13"/>
      <c r="G19" s="13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13"/>
      <c r="W19" s="31"/>
    </row>
    <row r="20" spans="1:23">
      <c r="A20" s="30"/>
      <c r="B20" s="15" t="s">
        <v>109</v>
      </c>
      <c r="C20" s="15">
        <v>45000</v>
      </c>
      <c r="D20" s="36" t="str">
        <f t="shared" ref="D20:D22" si="1">IF(C20&gt;40000,"Bonus","No Bonus")</f>
        <v>Bonus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31"/>
    </row>
    <row r="21" spans="1:23">
      <c r="A21" s="30"/>
      <c r="B21" s="15" t="s">
        <v>110</v>
      </c>
      <c r="C21" s="15">
        <v>52000</v>
      </c>
      <c r="D21" s="36" t="str">
        <f t="shared" si="1"/>
        <v>Bonus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31"/>
    </row>
    <row r="22" spans="1:23">
      <c r="A22" s="30"/>
      <c r="B22" s="15" t="s">
        <v>108</v>
      </c>
      <c r="C22" s="15">
        <v>30000</v>
      </c>
      <c r="D22" s="36" t="str">
        <f t="shared" si="1"/>
        <v>No Bonus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31"/>
    </row>
    <row r="23" spans="1:23">
      <c r="A23" s="30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31"/>
    </row>
    <row r="24" spans="1:23">
      <c r="A24" s="30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31"/>
    </row>
    <row r="25" spans="1:23">
      <c r="A25" s="30"/>
      <c r="B25" s="39" t="s">
        <v>38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1"/>
    </row>
    <row r="26" spans="1:23">
      <c r="A26" s="3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1"/>
    </row>
    <row r="27" spans="1:23">
      <c r="A27" s="3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1"/>
    </row>
    <row r="28" spans="1:23">
      <c r="A28" s="30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31"/>
    </row>
    <row r="29" spans="1:23" ht="17.399999999999999">
      <c r="A29" s="30"/>
      <c r="B29" s="22" t="s">
        <v>113</v>
      </c>
      <c r="C29" s="22" t="s">
        <v>104</v>
      </c>
      <c r="D29" s="22" t="s">
        <v>105</v>
      </c>
      <c r="E29" s="13"/>
      <c r="F29" s="13"/>
      <c r="G29" s="13"/>
      <c r="H29" s="38" t="s">
        <v>143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13"/>
      <c r="W29" s="31"/>
    </row>
    <row r="30" spans="1:23">
      <c r="A30" s="30"/>
      <c r="B30" s="15" t="s">
        <v>103</v>
      </c>
      <c r="C30" s="15">
        <v>82</v>
      </c>
      <c r="D30" s="36" t="str">
        <f>IF(C30&gt;=75,"A",IF(C30&gt;=60,"B",IF(C30&gt;=40,"C","Fail")))</f>
        <v>A</v>
      </c>
      <c r="E30" s="13"/>
      <c r="F30" s="13"/>
      <c r="G30" s="13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13"/>
      <c r="W30" s="31"/>
    </row>
    <row r="31" spans="1:23">
      <c r="A31" s="30"/>
      <c r="B31" s="15" t="s">
        <v>109</v>
      </c>
      <c r="C31" s="15">
        <v>67</v>
      </c>
      <c r="D31" s="36" t="str">
        <f t="shared" ref="D31:D34" si="2">IF(C31&gt;=75,"A",IF(C31&gt;=60,"B",IF(C31&gt;=40,"C","Fail")))</f>
        <v>B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31"/>
    </row>
    <row r="32" spans="1:23">
      <c r="A32" s="30"/>
      <c r="B32" s="15" t="s">
        <v>110</v>
      </c>
      <c r="C32" s="15">
        <v>45</v>
      </c>
      <c r="D32" s="36" t="str">
        <f t="shared" si="2"/>
        <v>C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31"/>
    </row>
    <row r="33" spans="1:23">
      <c r="A33" s="30"/>
      <c r="B33" s="15" t="s">
        <v>108</v>
      </c>
      <c r="C33" s="15">
        <v>33</v>
      </c>
      <c r="D33" s="36" t="str">
        <f t="shared" si="2"/>
        <v>Fail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31"/>
    </row>
    <row r="34" spans="1:23">
      <c r="A34" s="30"/>
      <c r="B34" s="15" t="s">
        <v>7</v>
      </c>
      <c r="C34" s="15">
        <v>90</v>
      </c>
      <c r="D34" s="36" t="str">
        <f t="shared" si="2"/>
        <v>A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31"/>
    </row>
    <row r="35" spans="1:23">
      <c r="A35" s="30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31"/>
    </row>
    <row r="36" spans="1:23">
      <c r="A36" s="3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31"/>
    </row>
    <row r="37" spans="1:23">
      <c r="A37" s="30"/>
      <c r="B37" s="39" t="s">
        <v>54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1"/>
    </row>
    <row r="38" spans="1:23">
      <c r="A38" s="3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1"/>
    </row>
    <row r="39" spans="1:23">
      <c r="A39" s="30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1"/>
    </row>
    <row r="40" spans="1:23">
      <c r="A40" s="30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31"/>
    </row>
    <row r="41" spans="1:23" ht="17.399999999999999">
      <c r="A41" s="30"/>
      <c r="B41" s="21" t="s">
        <v>2</v>
      </c>
      <c r="C41" s="21" t="s">
        <v>114</v>
      </c>
      <c r="D41" s="21" t="s">
        <v>115</v>
      </c>
      <c r="E41" s="21" t="s">
        <v>116</v>
      </c>
      <c r="F41" s="13"/>
      <c r="G41" s="13"/>
      <c r="H41" s="38" t="s">
        <v>144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13"/>
      <c r="W41" s="31"/>
    </row>
    <row r="42" spans="1:23">
      <c r="A42" s="30"/>
      <c r="B42" s="15" t="s">
        <v>103</v>
      </c>
      <c r="C42" s="15">
        <v>25</v>
      </c>
      <c r="D42" s="15">
        <v>2</v>
      </c>
      <c r="E42" s="36" t="str">
        <f>IF(AND(C42&gt;=21,D42&gt;=1),"Eligible","Not Eligible")</f>
        <v>Eligible</v>
      </c>
      <c r="F42" s="13"/>
      <c r="G42" s="13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13"/>
      <c r="W42" s="31"/>
    </row>
    <row r="43" spans="1:23">
      <c r="A43" s="30"/>
      <c r="B43" s="15" t="s">
        <v>109</v>
      </c>
      <c r="C43" s="15">
        <v>20</v>
      </c>
      <c r="D43" s="15">
        <v>1</v>
      </c>
      <c r="E43" s="36" t="str">
        <f t="shared" ref="E43:E46" si="3">IF(AND(C43&gt;=21,D43&gt;=1),"Eligible","Not Eligible")</f>
        <v>Not Eligible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31"/>
    </row>
    <row r="44" spans="1:23">
      <c r="A44" s="30"/>
      <c r="B44" s="15" t="s">
        <v>110</v>
      </c>
      <c r="C44" s="15">
        <v>30</v>
      </c>
      <c r="D44" s="15">
        <v>5</v>
      </c>
      <c r="E44" s="36" t="str">
        <f t="shared" si="3"/>
        <v>Eligible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31"/>
    </row>
    <row r="45" spans="1:23">
      <c r="A45" s="30"/>
      <c r="B45" s="15" t="s">
        <v>108</v>
      </c>
      <c r="C45" s="15">
        <v>22</v>
      </c>
      <c r="D45" s="15">
        <v>0</v>
      </c>
      <c r="E45" s="36" t="str">
        <f t="shared" si="3"/>
        <v>Not Eligible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31"/>
    </row>
    <row r="46" spans="1:23">
      <c r="A46" s="30"/>
      <c r="B46" s="15" t="s">
        <v>7</v>
      </c>
      <c r="C46" s="15">
        <v>19</v>
      </c>
      <c r="D46" s="15">
        <v>3</v>
      </c>
      <c r="E46" s="36" t="str">
        <f t="shared" si="3"/>
        <v>Not Eligible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31"/>
    </row>
    <row r="47" spans="1:23">
      <c r="A47" s="3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31"/>
    </row>
    <row r="48" spans="1:23">
      <c r="A48" s="3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31"/>
    </row>
    <row r="49" spans="1:23" ht="14.4" customHeight="1">
      <c r="A49" s="30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31"/>
    </row>
    <row r="50" spans="1:23" ht="14.4" customHeight="1">
      <c r="A50" s="30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31"/>
    </row>
    <row r="51" spans="1:23">
      <c r="A51" s="30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31"/>
    </row>
    <row r="52" spans="1:23">
      <c r="A52" s="30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31"/>
    </row>
    <row r="53" spans="1:23">
      <c r="A53" s="30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31"/>
    </row>
    <row r="54" spans="1:23">
      <c r="A54" s="30"/>
      <c r="B54" s="39" t="s">
        <v>65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1"/>
    </row>
    <row r="55" spans="1:23">
      <c r="A55" s="30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1"/>
    </row>
    <row r="56" spans="1:23">
      <c r="A56" s="30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1"/>
    </row>
    <row r="57" spans="1:23">
      <c r="A57" s="30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31"/>
    </row>
    <row r="58" spans="1:23" ht="17.399999999999999">
      <c r="A58" s="30"/>
      <c r="B58" s="22" t="s">
        <v>113</v>
      </c>
      <c r="C58" s="22" t="s">
        <v>117</v>
      </c>
      <c r="D58" s="22" t="s">
        <v>118</v>
      </c>
      <c r="E58" s="22" t="s">
        <v>116</v>
      </c>
      <c r="F58" s="13"/>
      <c r="G58" s="13"/>
      <c r="H58" s="38" t="s">
        <v>145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13"/>
      <c r="W58" s="31"/>
    </row>
    <row r="59" spans="1:23">
      <c r="A59" s="30"/>
      <c r="B59" s="15" t="s">
        <v>103</v>
      </c>
      <c r="C59" s="15">
        <v>85</v>
      </c>
      <c r="D59" s="15" t="s">
        <v>119</v>
      </c>
      <c r="E59" s="36" t="str">
        <f>IF(AND(C59&gt;75,D59&gt;"Assignment=YES"),"Eligible","Not Eligible")</f>
        <v>Eligible</v>
      </c>
      <c r="F59" s="13"/>
      <c r="G59" s="13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13"/>
      <c r="W59" s="31"/>
    </row>
    <row r="60" spans="1:23">
      <c r="A60" s="30"/>
      <c r="B60" s="15" t="s">
        <v>109</v>
      </c>
      <c r="C60" s="15">
        <v>72</v>
      </c>
      <c r="D60" s="15" t="s">
        <v>119</v>
      </c>
      <c r="E60" s="36" t="str">
        <f t="shared" ref="E60:E63" si="4">IF(AND(C60&gt;75,D60&gt;"Assignment=YES"),"Eligible","Not Eligible")</f>
        <v>Not Eligible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31"/>
    </row>
    <row r="61" spans="1:23">
      <c r="A61" s="30"/>
      <c r="B61" s="15" t="s">
        <v>110</v>
      </c>
      <c r="C61" s="15">
        <v>90</v>
      </c>
      <c r="D61" s="15" t="s">
        <v>120</v>
      </c>
      <c r="E61" s="36" t="str">
        <f t="shared" si="4"/>
        <v>Eligible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31"/>
    </row>
    <row r="62" spans="1:23">
      <c r="A62" s="30"/>
      <c r="B62" s="15" t="s">
        <v>108</v>
      </c>
      <c r="C62" s="15">
        <v>80</v>
      </c>
      <c r="D62" s="15" t="s">
        <v>119</v>
      </c>
      <c r="E62" s="36" t="str">
        <f t="shared" si="4"/>
        <v>Eligible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31"/>
    </row>
    <row r="63" spans="1:23">
      <c r="A63" s="30"/>
      <c r="B63" s="15" t="s">
        <v>7</v>
      </c>
      <c r="C63" s="15">
        <v>65</v>
      </c>
      <c r="D63" s="15" t="s">
        <v>120</v>
      </c>
      <c r="E63" s="36" t="str">
        <f t="shared" si="4"/>
        <v>Not Eligible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31"/>
    </row>
    <row r="64" spans="1:23" ht="15" thickBot="1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4"/>
    </row>
  </sheetData>
  <mergeCells count="15">
    <mergeCell ref="B2:V4"/>
    <mergeCell ref="B14:V16"/>
    <mergeCell ref="B25:V27"/>
    <mergeCell ref="B37:V39"/>
    <mergeCell ref="B54:V56"/>
    <mergeCell ref="U29:U30"/>
    <mergeCell ref="H41:T42"/>
    <mergeCell ref="U41:U42"/>
    <mergeCell ref="H58:T59"/>
    <mergeCell ref="U58:U59"/>
    <mergeCell ref="H6:T7"/>
    <mergeCell ref="U6:U7"/>
    <mergeCell ref="H18:T19"/>
    <mergeCell ref="U18:U19"/>
    <mergeCell ref="H29:T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8F-62C8-4286-9A02-E1E1CC35DE88}">
  <dimension ref="A1:W62"/>
  <sheetViews>
    <sheetView topLeftCell="A41" zoomScale="111" zoomScaleNormal="81" workbookViewId="0">
      <selection activeCell="B55" sqref="B55:B60"/>
    </sheetView>
  </sheetViews>
  <sheetFormatPr defaultRowHeight="14.4"/>
  <cols>
    <col min="2" max="2" width="21" bestFit="1" customWidth="1"/>
    <col min="3" max="3" width="23.109375" bestFit="1" customWidth="1"/>
    <col min="4" max="4" width="16.109375" bestFit="1" customWidth="1"/>
    <col min="5" max="5" width="17.88671875" bestFit="1" customWidth="1"/>
  </cols>
  <sheetData>
    <row r="1" spans="1:23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9"/>
    </row>
    <row r="2" spans="1:23">
      <c r="A2" s="30"/>
      <c r="B2" s="39" t="s">
        <v>123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31"/>
    </row>
    <row r="3" spans="1:23">
      <c r="A3" s="3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31"/>
    </row>
    <row r="4" spans="1:23">
      <c r="A4" s="3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31"/>
    </row>
    <row r="5" spans="1:23">
      <c r="A5" s="30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31"/>
    </row>
    <row r="6" spans="1:23" ht="18.600000000000001">
      <c r="A6" s="30"/>
      <c r="B6" s="24" t="s">
        <v>124</v>
      </c>
      <c r="C6" s="24" t="s">
        <v>125</v>
      </c>
      <c r="D6" s="24" t="s">
        <v>126</v>
      </c>
      <c r="E6" s="24" t="s">
        <v>129</v>
      </c>
      <c r="F6" s="13"/>
      <c r="G6" s="13"/>
      <c r="H6" s="38" t="s">
        <v>146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W6" s="31"/>
    </row>
    <row r="7" spans="1:23">
      <c r="A7" s="30"/>
      <c r="B7" s="15" t="s">
        <v>87</v>
      </c>
      <c r="C7" s="15">
        <v>9000</v>
      </c>
      <c r="D7" s="15" t="s">
        <v>127</v>
      </c>
      <c r="E7" s="35" t="str">
        <f>IF(OR(C7&gt;=10000,D7="yes"),"Discount","No Discount")</f>
        <v>No Discount</v>
      </c>
      <c r="F7" s="13"/>
      <c r="G7" s="13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W7" s="31"/>
    </row>
    <row r="8" spans="1:23">
      <c r="A8" s="30"/>
      <c r="B8" s="15" t="s">
        <v>88</v>
      </c>
      <c r="C8" s="15">
        <v>12000</v>
      </c>
      <c r="D8" s="15" t="s">
        <v>127</v>
      </c>
      <c r="E8" s="35" t="str">
        <f t="shared" ref="E8:E11" si="0">IF(OR(C8&gt;=10000,D8="yes"),"Discount","No Discount")</f>
        <v>Discount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31"/>
    </row>
    <row r="9" spans="1:23">
      <c r="A9" s="30"/>
      <c r="B9" s="15" t="s">
        <v>89</v>
      </c>
      <c r="C9" s="15">
        <v>4000</v>
      </c>
      <c r="D9" s="15" t="s">
        <v>128</v>
      </c>
      <c r="E9" s="35" t="str">
        <f t="shared" si="0"/>
        <v>Discount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31"/>
    </row>
    <row r="10" spans="1:23">
      <c r="A10" s="30"/>
      <c r="B10" s="15" t="s">
        <v>90</v>
      </c>
      <c r="C10" s="15">
        <v>15000</v>
      </c>
      <c r="D10" s="15" t="s">
        <v>128</v>
      </c>
      <c r="E10" s="35" t="str">
        <f t="shared" si="0"/>
        <v>Discount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31"/>
    </row>
    <row r="11" spans="1:23">
      <c r="A11" s="30"/>
      <c r="B11" s="15" t="s">
        <v>91</v>
      </c>
      <c r="C11" s="15">
        <v>3000</v>
      </c>
      <c r="D11" s="15" t="s">
        <v>127</v>
      </c>
      <c r="E11" s="35" t="str">
        <f t="shared" si="0"/>
        <v>No Discount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31"/>
    </row>
    <row r="12" spans="1:23">
      <c r="A12" s="30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1"/>
    </row>
    <row r="13" spans="1:23">
      <c r="A13" s="30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1"/>
    </row>
    <row r="14" spans="1:23">
      <c r="A14" s="30"/>
      <c r="B14" s="39" t="s">
        <v>98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31"/>
    </row>
    <row r="15" spans="1:23">
      <c r="A15" s="3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31"/>
    </row>
    <row r="16" spans="1:23">
      <c r="A16" s="3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31"/>
    </row>
    <row r="17" spans="1:23">
      <c r="A17" s="30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31"/>
    </row>
    <row r="18" spans="1:23" ht="17.399999999999999">
      <c r="A18" s="30"/>
      <c r="B18" s="25" t="s">
        <v>130</v>
      </c>
      <c r="C18" s="25" t="s">
        <v>4</v>
      </c>
      <c r="D18" s="25" t="s">
        <v>131</v>
      </c>
      <c r="E18" s="25" t="s">
        <v>132</v>
      </c>
      <c r="F18" s="13"/>
      <c r="G18" s="13"/>
      <c r="H18" s="38" t="s">
        <v>147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13"/>
      <c r="W18" s="31"/>
    </row>
    <row r="19" spans="1:23">
      <c r="A19" s="30"/>
      <c r="B19" s="15" t="s">
        <v>66</v>
      </c>
      <c r="C19" s="15">
        <v>35000</v>
      </c>
      <c r="D19" s="15">
        <v>720</v>
      </c>
      <c r="E19" s="35" t="str">
        <f>IF(OR(C19&gt;40000,D19&gt;=700),"Approved","Rejected")</f>
        <v>Approved</v>
      </c>
      <c r="F19" s="13"/>
      <c r="G19" s="13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13"/>
      <c r="W19" s="31"/>
    </row>
    <row r="20" spans="1:23">
      <c r="A20" s="30"/>
      <c r="B20" s="15" t="s">
        <v>67</v>
      </c>
      <c r="C20" s="15">
        <v>25000</v>
      </c>
      <c r="D20" s="15">
        <v>680</v>
      </c>
      <c r="E20" s="35" t="str">
        <f t="shared" ref="E20:E24" si="1">IF(OR(C20&gt;40000,D20&gt;=700),"Approved","Rejected")</f>
        <v>Rejected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31"/>
    </row>
    <row r="21" spans="1:23">
      <c r="A21" s="30"/>
      <c r="B21" s="15" t="s">
        <v>68</v>
      </c>
      <c r="C21" s="15">
        <v>50000</v>
      </c>
      <c r="D21" s="15">
        <v>650</v>
      </c>
      <c r="E21" s="35" t="str">
        <f t="shared" si="1"/>
        <v>Approved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31"/>
    </row>
    <row r="22" spans="1:23">
      <c r="A22" s="30"/>
      <c r="B22" s="15" t="s">
        <v>69</v>
      </c>
      <c r="C22" s="15">
        <v>20000</v>
      </c>
      <c r="D22" s="15">
        <v>450</v>
      </c>
      <c r="E22" s="35" t="str">
        <f t="shared" si="1"/>
        <v>Rejected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31"/>
    </row>
    <row r="23" spans="1:23">
      <c r="A23" s="30"/>
      <c r="B23" s="15" t="s">
        <v>70</v>
      </c>
      <c r="C23" s="15">
        <v>10000</v>
      </c>
      <c r="D23" s="15">
        <v>300</v>
      </c>
      <c r="E23" s="35" t="str">
        <f t="shared" si="1"/>
        <v>Rejected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31"/>
    </row>
    <row r="24" spans="1:23">
      <c r="A24" s="30"/>
      <c r="B24" s="15" t="s">
        <v>91</v>
      </c>
      <c r="C24" s="15">
        <v>50000</v>
      </c>
      <c r="D24" s="15">
        <v>250</v>
      </c>
      <c r="E24" s="35" t="str">
        <f t="shared" si="1"/>
        <v>Approved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31"/>
    </row>
    <row r="25" spans="1:23">
      <c r="A25" s="3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31"/>
    </row>
    <row r="26" spans="1:23">
      <c r="A26" s="30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31"/>
    </row>
    <row r="27" spans="1:23">
      <c r="A27" s="30"/>
      <c r="B27" s="39" t="s">
        <v>102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31"/>
    </row>
    <row r="28" spans="1:23">
      <c r="A28" s="3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31"/>
    </row>
    <row r="29" spans="1:23">
      <c r="A29" s="3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31"/>
    </row>
    <row r="30" spans="1:23">
      <c r="A30" s="30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31"/>
    </row>
    <row r="31" spans="1:23" ht="17.399999999999999">
      <c r="A31" s="30"/>
      <c r="B31" s="25" t="s">
        <v>122</v>
      </c>
      <c r="C31" s="25" t="s">
        <v>133</v>
      </c>
      <c r="D31" s="25" t="s">
        <v>134</v>
      </c>
      <c r="E31" s="13"/>
      <c r="F31" s="13"/>
      <c r="G31" s="13"/>
      <c r="H31" s="38" t="s">
        <v>148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13"/>
      <c r="W31" s="31"/>
    </row>
    <row r="32" spans="1:23">
      <c r="A32" s="30"/>
      <c r="B32" s="15" t="s">
        <v>87</v>
      </c>
      <c r="C32" s="15" t="b">
        <v>1</v>
      </c>
      <c r="D32" s="35" t="str">
        <f>IF(C32,"Absent","Present")</f>
        <v>Absent</v>
      </c>
      <c r="E32" s="13"/>
      <c r="F32" s="13"/>
      <c r="G32" s="13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13"/>
      <c r="W32" s="31"/>
    </row>
    <row r="33" spans="1:23">
      <c r="A33" s="30"/>
      <c r="B33" s="15" t="s">
        <v>88</v>
      </c>
      <c r="C33" s="15" t="b">
        <v>0</v>
      </c>
      <c r="D33" s="35" t="str">
        <f t="shared" ref="D33:D36" si="2">IF(C33,"Absent","Present")</f>
        <v>Present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31"/>
    </row>
    <row r="34" spans="1:23">
      <c r="A34" s="30"/>
      <c r="B34" s="15" t="s">
        <v>89</v>
      </c>
      <c r="C34" s="15" t="b">
        <v>1</v>
      </c>
      <c r="D34" s="35" t="str">
        <f t="shared" si="2"/>
        <v>Absent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31"/>
    </row>
    <row r="35" spans="1:23">
      <c r="A35" s="30"/>
      <c r="B35" s="15" t="s">
        <v>90</v>
      </c>
      <c r="C35" s="15" t="b">
        <v>1</v>
      </c>
      <c r="D35" s="35" t="str">
        <f t="shared" si="2"/>
        <v>Absent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31"/>
    </row>
    <row r="36" spans="1:23">
      <c r="A36" s="30"/>
      <c r="B36" s="15" t="s">
        <v>91</v>
      </c>
      <c r="C36" s="15" t="b">
        <v>0</v>
      </c>
      <c r="D36" s="35" t="str">
        <f t="shared" si="2"/>
        <v>Present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31"/>
    </row>
    <row r="37" spans="1:23">
      <c r="A37" s="30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31"/>
    </row>
    <row r="38" spans="1:23">
      <c r="A38" s="30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31"/>
    </row>
    <row r="39" spans="1:23">
      <c r="A39" s="30"/>
      <c r="B39" s="39" t="s">
        <v>135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31"/>
    </row>
    <row r="40" spans="1:23">
      <c r="A40" s="3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31"/>
    </row>
    <row r="41" spans="1:23">
      <c r="A41" s="3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31"/>
    </row>
    <row r="42" spans="1:23">
      <c r="A42" s="30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31"/>
    </row>
    <row r="43" spans="1:23" ht="17.399999999999999">
      <c r="A43" s="30"/>
      <c r="B43" s="25" t="s">
        <v>136</v>
      </c>
      <c r="C43" s="25" t="s">
        <v>137</v>
      </c>
      <c r="D43" s="25" t="s">
        <v>107</v>
      </c>
      <c r="E43" s="13"/>
      <c r="F43" s="13"/>
      <c r="G43" s="13"/>
      <c r="H43" s="38" t="s">
        <v>149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13"/>
      <c r="W43" s="31"/>
    </row>
    <row r="44" spans="1:23">
      <c r="A44" s="30"/>
      <c r="B44" s="15">
        <v>10</v>
      </c>
      <c r="C44" s="15">
        <v>2</v>
      </c>
      <c r="D44" s="35">
        <f>IFERROR(B44/C44,"Invalid")</f>
        <v>5</v>
      </c>
      <c r="E44" s="13"/>
      <c r="F44" s="13"/>
      <c r="G44" s="13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3"/>
      <c r="W44" s="31"/>
    </row>
    <row r="45" spans="1:23">
      <c r="A45" s="30"/>
      <c r="B45" s="15">
        <v>15</v>
      </c>
      <c r="C45" s="15">
        <v>0</v>
      </c>
      <c r="D45" s="35" t="str">
        <f t="shared" ref="D45:D48" si="3">IFERROR(B45/C45,"Invalid")</f>
        <v>Invalid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31"/>
    </row>
    <row r="46" spans="1:23">
      <c r="A46" s="30"/>
      <c r="B46" s="15">
        <v>20</v>
      </c>
      <c r="C46" s="15">
        <v>5</v>
      </c>
      <c r="D46" s="35">
        <f t="shared" si="3"/>
        <v>4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31"/>
    </row>
    <row r="47" spans="1:23">
      <c r="A47" s="30"/>
      <c r="B47" s="15">
        <v>8</v>
      </c>
      <c r="C47" s="15">
        <v>0</v>
      </c>
      <c r="D47" s="35" t="str">
        <f t="shared" si="3"/>
        <v>Invalid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31"/>
    </row>
    <row r="48" spans="1:23">
      <c r="A48" s="30"/>
      <c r="B48" s="15">
        <v>3</v>
      </c>
      <c r="C48" s="15">
        <v>1</v>
      </c>
      <c r="D48" s="35">
        <f t="shared" si="3"/>
        <v>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31"/>
    </row>
    <row r="49" spans="1:23">
      <c r="A49" s="30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31"/>
    </row>
    <row r="50" spans="1:23">
      <c r="A50" s="30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31"/>
    </row>
    <row r="51" spans="1:23">
      <c r="A51" s="30"/>
      <c r="B51" s="39" t="s">
        <v>138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31"/>
    </row>
    <row r="52" spans="1:23">
      <c r="A52" s="3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31"/>
    </row>
    <row r="53" spans="1:23">
      <c r="A53" s="3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31"/>
    </row>
    <row r="54" spans="1:23">
      <c r="A54" s="30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31"/>
    </row>
    <row r="55" spans="1:23" ht="17.399999999999999">
      <c r="A55" s="30"/>
      <c r="B55" s="25" t="s">
        <v>139</v>
      </c>
      <c r="C55" s="25" t="s">
        <v>140</v>
      </c>
      <c r="D55" s="25" t="s">
        <v>117</v>
      </c>
      <c r="E55" s="25" t="s">
        <v>106</v>
      </c>
      <c r="F55" s="13"/>
      <c r="G55" s="13"/>
      <c r="H55" s="38" t="s">
        <v>150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13"/>
      <c r="W55" s="31"/>
    </row>
    <row r="56" spans="1:23">
      <c r="A56" s="30"/>
      <c r="B56" s="15" t="s">
        <v>87</v>
      </c>
      <c r="C56" s="15">
        <v>45</v>
      </c>
      <c r="D56" s="15">
        <v>92</v>
      </c>
      <c r="E56" s="35" t="str">
        <f>IF(AND(D56&gt;=90,C56&gt;=40),"Excellent",IF(D56&gt;=80,"Good","Need Improvement"))</f>
        <v>Excellent</v>
      </c>
      <c r="F56" s="13"/>
      <c r="G56" s="13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13"/>
      <c r="W56" s="31"/>
    </row>
    <row r="57" spans="1:23">
      <c r="A57" s="30"/>
      <c r="B57" s="15" t="s">
        <v>88</v>
      </c>
      <c r="C57" s="15">
        <v>38</v>
      </c>
      <c r="D57" s="15">
        <v>85</v>
      </c>
      <c r="E57" s="35" t="str">
        <f t="shared" ref="E57:E60" si="4">IF(AND(D57&gt;=90,C57&gt;=40),"Excellent",IF(D57&gt;=80,"Good","Need Improvement"))</f>
        <v>Good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31"/>
    </row>
    <row r="58" spans="1:23">
      <c r="A58" s="30"/>
      <c r="B58" s="15" t="s">
        <v>89</v>
      </c>
      <c r="C58" s="15">
        <v>50</v>
      </c>
      <c r="D58" s="15">
        <v>95</v>
      </c>
      <c r="E58" s="35" t="str">
        <f t="shared" si="4"/>
        <v>Excellent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31"/>
    </row>
    <row r="59" spans="1:23">
      <c r="A59" s="30"/>
      <c r="B59" s="15" t="s">
        <v>90</v>
      </c>
      <c r="C59" s="15">
        <v>30</v>
      </c>
      <c r="D59" s="15">
        <v>70</v>
      </c>
      <c r="E59" s="35" t="str">
        <f t="shared" si="4"/>
        <v>Need Improvement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31"/>
    </row>
    <row r="60" spans="1:23">
      <c r="A60" s="30"/>
      <c r="B60" s="15" t="s">
        <v>91</v>
      </c>
      <c r="C60" s="15">
        <v>15</v>
      </c>
      <c r="D60" s="15">
        <v>35</v>
      </c>
      <c r="E60" s="35" t="str">
        <f t="shared" si="4"/>
        <v>Need Improvement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31"/>
    </row>
    <row r="61" spans="1:23">
      <c r="A61" s="30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31"/>
    </row>
    <row r="62" spans="1:23" ht="15" thickBot="1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4"/>
    </row>
  </sheetData>
  <mergeCells count="15">
    <mergeCell ref="B2:V4"/>
    <mergeCell ref="B14:V16"/>
    <mergeCell ref="B27:V29"/>
    <mergeCell ref="B39:V41"/>
    <mergeCell ref="B51:V53"/>
    <mergeCell ref="H18:T19"/>
    <mergeCell ref="U18:U19"/>
    <mergeCell ref="H31:T32"/>
    <mergeCell ref="U31:U32"/>
    <mergeCell ref="H43:T44"/>
    <mergeCell ref="U43:U44"/>
    <mergeCell ref="H55:T56"/>
    <mergeCell ref="U55:U56"/>
    <mergeCell ref="H6:T7"/>
    <mergeCell ref="U6:U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BB70-8310-4A54-A331-02B59C6FBE8F}">
  <dimension ref="A1:W21"/>
  <sheetViews>
    <sheetView workbookViewId="0">
      <selection sqref="A1:W21"/>
    </sheetView>
  </sheetViews>
  <sheetFormatPr defaultRowHeight="14.4"/>
  <sheetData>
    <row r="1" spans="1:23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</row>
    <row r="5" spans="1:23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7" spans="1:2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spans="1:2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 spans="1:2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1:2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</row>
    <row r="13" spans="1:2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 spans="1:2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</row>
    <row r="15" spans="1:2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</row>
    <row r="16" spans="1:23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</row>
    <row r="17" spans="1:2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</row>
    <row r="18" spans="1:2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</row>
    <row r="19" spans="1:2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spans="1:2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1:2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</row>
  </sheetData>
  <mergeCells count="1">
    <mergeCell ref="A1:W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2026-06-23T12:06:00Z</dcterms:created>
  <dcterms:modified xsi:type="dcterms:W3CDTF">2026-06-25T09:32:24Z</dcterms:modified>
</cp:coreProperties>
</file>